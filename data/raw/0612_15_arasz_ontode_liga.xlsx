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codeName="ThisWorkbook" defaultThemeVersion="124226"/>
  <mc:AlternateContent xmlns:mc="http://schemas.openxmlformats.org/markup-compatibility/2006">
    <mc:Choice Requires="x15">
      <x15ac:absPath xmlns:x15ac="http://schemas.microsoft.com/office/spreadsheetml/2010/11/ac" url="/Users/szekeresmartin/Downloads/"/>
    </mc:Choice>
  </mc:AlternateContent>
  <xr:revisionPtr revIDLastSave="0" documentId="8_{49BB67A3-02D8-1545-A564-961DD1C88675}" xr6:coauthVersionLast="47" xr6:coauthVersionMax="47" xr10:uidLastSave="{00000000-0000-0000-0000-000000000000}"/>
  <bookViews>
    <workbookView xWindow="1200" yWindow="780" windowWidth="28580" windowHeight="21460" tabRatio="695" activeTab="4" xr2:uid="{00000000-000D-0000-FFFF-FFFF00000000}"/>
  </bookViews>
  <sheets>
    <sheet name="A liga" sheetId="77" r:id="rId1"/>
    <sheet name="B liga" sheetId="79" r:id="rId2"/>
    <sheet name="C liga" sheetId="78" r:id="rId3"/>
    <sheet name="D liga" sheetId="69" r:id="rId4"/>
    <sheet name="E liga" sheetId="70" r:id="rId5"/>
    <sheet name="F liga" sheetId="74" state="hidden" r:id="rId6"/>
    <sheet name="G liga" sheetId="75" state="hidden" r:id="rId7"/>
    <sheet name="15. kör sorsolás" sheetId="29" state="hidden" r:id="rId8"/>
    <sheet name="Versenykiírás" sheetId="37" r:id="rId9"/>
    <sheet name="Ligabeosztas" sheetId="22" state="hidden" r:id="rId10"/>
    <sheet name="Elérhetőség" sheetId="83" r:id="rId11"/>
    <sheet name="Piramis Bajnokság" sheetId="82" r:id="rId12"/>
    <sheet name="Liga történelem" sheetId="80" r:id="rId13"/>
    <sheet name="Munka1" sheetId="84" state="hidden" r:id="rId14"/>
    <sheet name="Ranglista" sheetId="81" state="hidden" r:id="rId15"/>
    <sheet name="H liga" sheetId="65" state="hidden" r:id="rId16"/>
    <sheet name="9_fős_liga" sheetId="66" state="hidden" r:id="rId17"/>
    <sheet name="10_fős_liga" sheetId="67" state="hidden" r:id="rId18"/>
    <sheet name="Női liga" sheetId="34" state="hidden" r:id="rId19"/>
  </sheets>
  <definedNames>
    <definedName name="_xlnm._FilterDatabase" localSheetId="9" hidden="1">Ligabeosztas!$A$1:$I$287</definedName>
    <definedName name="eredmeny">'15. kör sorsolás'!$L$3:$L$11</definedName>
    <definedName name="nevezettek">Ligabeosztas!$A$1:$D$287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29" l="1"/>
  <c r="E13" i="29"/>
  <c r="D14" i="29"/>
  <c r="E14" i="29"/>
  <c r="D15" i="29"/>
  <c r="E15" i="29"/>
  <c r="D16" i="29"/>
  <c r="E16" i="29"/>
  <c r="E18" i="29"/>
  <c r="E19" i="29"/>
  <c r="E20" i="29"/>
  <c r="E21" i="29"/>
  <c r="E22" i="29"/>
  <c r="E23" i="29"/>
  <c r="E24" i="29"/>
  <c r="E25" i="29"/>
  <c r="E26" i="29"/>
  <c r="E27" i="29"/>
  <c r="B11" i="29"/>
  <c r="F2" i="22"/>
  <c r="P34" i="78"/>
  <c r="O34" i="78"/>
  <c r="N34" i="78"/>
  <c r="P31" i="78"/>
  <c r="O31" i="78"/>
  <c r="N31" i="78"/>
  <c r="M31" i="78" s="1"/>
  <c r="Q33" i="78" s="1"/>
  <c r="P28" i="78"/>
  <c r="O28" i="78"/>
  <c r="N28" i="78"/>
  <c r="P25" i="78"/>
  <c r="O25" i="78"/>
  <c r="N25" i="78"/>
  <c r="P22" i="78"/>
  <c r="O22" i="78"/>
  <c r="N22" i="78"/>
  <c r="P19" i="78"/>
  <c r="O19" i="78"/>
  <c r="N19" i="78"/>
  <c r="P16" i="78"/>
  <c r="O16" i="78"/>
  <c r="N16" i="78"/>
  <c r="P13" i="78"/>
  <c r="O13" i="78"/>
  <c r="N13" i="78"/>
  <c r="P10" i="78"/>
  <c r="O10" i="78"/>
  <c r="N10" i="78"/>
  <c r="P7" i="78"/>
  <c r="O7" i="78"/>
  <c r="N7" i="78"/>
  <c r="P4" i="78"/>
  <c r="O4" i="78"/>
  <c r="N4" i="78"/>
  <c r="M34" i="78" l="1"/>
  <c r="Q36" i="78" s="1"/>
  <c r="M10" i="78"/>
  <c r="Q12" i="78" s="1"/>
  <c r="M13" i="78"/>
  <c r="Q15" i="78" s="1"/>
  <c r="M25" i="78"/>
  <c r="Q27" i="78" s="1"/>
  <c r="M16" i="78"/>
  <c r="Q18" i="78" s="1"/>
  <c r="M28" i="78"/>
  <c r="Q30" i="78" s="1"/>
  <c r="M22" i="78"/>
  <c r="Q24" i="78" s="1"/>
  <c r="M7" i="78"/>
  <c r="Q9" i="78" s="1"/>
  <c r="M19" i="78"/>
  <c r="Q21" i="78" s="1"/>
  <c r="M4" i="78"/>
  <c r="B31" i="22"/>
  <c r="O31" i="79"/>
  <c r="N31" i="79"/>
  <c r="M31" i="79"/>
  <c r="O28" i="79"/>
  <c r="N28" i="79"/>
  <c r="M28" i="79"/>
  <c r="O25" i="79"/>
  <c r="N25" i="79"/>
  <c r="M25" i="79"/>
  <c r="O22" i="79"/>
  <c r="N22" i="79"/>
  <c r="M22" i="79"/>
  <c r="O19" i="79"/>
  <c r="N19" i="79"/>
  <c r="M19" i="79"/>
  <c r="O16" i="79"/>
  <c r="N16" i="79"/>
  <c r="M16" i="79"/>
  <c r="O13" i="79"/>
  <c r="N13" i="79"/>
  <c r="M13" i="79"/>
  <c r="O10" i="79"/>
  <c r="N10" i="79"/>
  <c r="M10" i="79"/>
  <c r="O7" i="79"/>
  <c r="N7" i="79"/>
  <c r="M7" i="79"/>
  <c r="O4" i="79"/>
  <c r="N4" i="79"/>
  <c r="M4" i="79"/>
  <c r="O4" i="77"/>
  <c r="O10" i="77"/>
  <c r="O7" i="77"/>
  <c r="M4" i="77"/>
  <c r="B51" i="22"/>
  <c r="B52" i="22"/>
  <c r="B21" i="22"/>
  <c r="B32" i="22"/>
  <c r="B11" i="22"/>
  <c r="B50" i="22"/>
  <c r="B49" i="22"/>
  <c r="B38" i="22"/>
  <c r="B39" i="22"/>
  <c r="B40" i="22"/>
  <c r="B41" i="22"/>
  <c r="B42" i="22"/>
  <c r="B43" i="22"/>
  <c r="N34" i="69"/>
  <c r="O34" i="69"/>
  <c r="P34" i="69"/>
  <c r="N31" i="69"/>
  <c r="O31" i="69"/>
  <c r="P31" i="69"/>
  <c r="B30" i="22"/>
  <c r="B29" i="22"/>
  <c r="B20" i="22"/>
  <c r="B19" i="22"/>
  <c r="B10" i="22"/>
  <c r="B9" i="22"/>
  <c r="B22" i="22"/>
  <c r="L19" i="79" l="1"/>
  <c r="P21" i="79" s="1"/>
  <c r="Q13" i="78"/>
  <c r="Q22" i="78"/>
  <c r="Q28" i="78"/>
  <c r="Q25" i="78"/>
  <c r="Q19" i="78"/>
  <c r="Q10" i="78"/>
  <c r="Q16" i="78"/>
  <c r="Q4" i="78"/>
  <c r="Q7" i="78"/>
  <c r="Q6" i="78"/>
  <c r="Q34" i="78"/>
  <c r="Q31" i="78"/>
  <c r="L25" i="79"/>
  <c r="P27" i="79" s="1"/>
  <c r="L13" i="79"/>
  <c r="P15" i="79" s="1"/>
  <c r="L22" i="79"/>
  <c r="P24" i="79" s="1"/>
  <c r="L16" i="79"/>
  <c r="P18" i="79" s="1"/>
  <c r="L7" i="79"/>
  <c r="P9" i="79" s="1"/>
  <c r="L4" i="79"/>
  <c r="P6" i="79" s="1"/>
  <c r="L28" i="79"/>
  <c r="P30" i="79" s="1"/>
  <c r="L10" i="79"/>
  <c r="L31" i="79"/>
  <c r="P33" i="79" s="1"/>
  <c r="M31" i="69"/>
  <c r="Q33" i="69" s="1"/>
  <c r="M34" i="69"/>
  <c r="Q36" i="69" s="1"/>
  <c r="B18" i="22"/>
  <c r="A2" i="77"/>
  <c r="B155" i="22"/>
  <c r="B34" i="22"/>
  <c r="B71" i="22"/>
  <c r="B4" i="22"/>
  <c r="B69" i="22"/>
  <c r="B158" i="22"/>
  <c r="B56" i="22"/>
  <c r="B5" i="22"/>
  <c r="B53" i="22"/>
  <c r="B35" i="22"/>
  <c r="B275" i="22"/>
  <c r="B276" i="22"/>
  <c r="B277" i="22"/>
  <c r="B278" i="22"/>
  <c r="B279" i="22"/>
  <c r="B280" i="22"/>
  <c r="B281" i="22"/>
  <c r="B282" i="22"/>
  <c r="B283" i="22"/>
  <c r="B284" i="22"/>
  <c r="B285" i="22"/>
  <c r="B286" i="22"/>
  <c r="P13" i="79" l="1"/>
  <c r="P12" i="79"/>
  <c r="P31" i="79"/>
  <c r="P25" i="79"/>
  <c r="P16" i="79"/>
  <c r="P19" i="79"/>
  <c r="P4" i="79"/>
  <c r="P7" i="79"/>
  <c r="P28" i="79"/>
  <c r="P22" i="79"/>
  <c r="P10" i="79"/>
  <c r="B26" i="22"/>
  <c r="B44" i="22"/>
  <c r="B190" i="22"/>
  <c r="B115" i="22"/>
  <c r="B287" i="22"/>
  <c r="B60" i="22"/>
  <c r="B47" i="22"/>
  <c r="B171" i="22" l="1"/>
  <c r="B255" i="22"/>
  <c r="B215" i="22"/>
  <c r="B138" i="22"/>
  <c r="B72" i="22"/>
  <c r="B59" i="22"/>
  <c r="B125" i="22"/>
  <c r="B191" i="22"/>
  <c r="B83" i="22"/>
  <c r="B195" i="22"/>
  <c r="B183" i="22"/>
  <c r="B81" i="22"/>
  <c r="B15" i="22"/>
  <c r="B25" i="22"/>
  <c r="B64" i="22"/>
  <c r="B2" i="22"/>
  <c r="B274" i="22" l="1"/>
  <c r="B253" i="22"/>
  <c r="B24" i="22"/>
  <c r="B33" i="22"/>
  <c r="B176" i="22"/>
  <c r="B103" i="22"/>
  <c r="B78" i="22"/>
  <c r="B23" i="22"/>
  <c r="B247" i="22"/>
  <c r="B248" i="22"/>
  <c r="B173" i="22"/>
  <c r="B46" i="22"/>
  <c r="G245" i="22"/>
  <c r="G102" i="22"/>
  <c r="G199" i="22"/>
  <c r="G201" i="22"/>
  <c r="G209" i="22"/>
  <c r="G268" i="22"/>
  <c r="G284" i="22"/>
  <c r="G230" i="22"/>
  <c r="G69" i="22"/>
  <c r="G168" i="22"/>
  <c r="G247" i="22"/>
  <c r="G169" i="22"/>
  <c r="G219" i="22"/>
  <c r="G227" i="22"/>
  <c r="G251" i="22"/>
  <c r="G232" i="22"/>
  <c r="G108" i="22"/>
  <c r="G166" i="22"/>
  <c r="G76" i="22"/>
  <c r="G192" i="22"/>
  <c r="G196" i="22"/>
  <c r="G171" i="22"/>
  <c r="G205" i="22"/>
  <c r="G235" i="22"/>
  <c r="G70" i="22"/>
  <c r="G82" i="22"/>
  <c r="G162" i="22"/>
  <c r="G124" i="22"/>
  <c r="G204" i="22"/>
  <c r="G160" i="22"/>
  <c r="G190" i="22"/>
  <c r="G75" i="22"/>
  <c r="G222" i="22"/>
  <c r="G252" i="22"/>
  <c r="G116" i="22"/>
  <c r="G216" i="22"/>
  <c r="G175" i="22"/>
  <c r="G143" i="22"/>
  <c r="G287" i="22"/>
  <c r="G139" i="22"/>
  <c r="G158" i="22"/>
  <c r="G244" i="22"/>
  <c r="G231" i="22"/>
  <c r="G137" i="22"/>
  <c r="G276" i="22"/>
  <c r="G155" i="22"/>
  <c r="G225" i="22"/>
  <c r="G266" i="22"/>
  <c r="G90" i="22"/>
  <c r="G177" i="22"/>
  <c r="G172" i="22"/>
  <c r="G282" i="22"/>
  <c r="G233" i="22"/>
  <c r="G189" i="22"/>
  <c r="G107" i="22"/>
  <c r="G214" i="22"/>
  <c r="G186" i="22"/>
  <c r="G140" i="22"/>
  <c r="G157" i="22"/>
  <c r="G161" i="22"/>
  <c r="G275" i="22"/>
  <c r="G159" i="22"/>
  <c r="G283" i="22"/>
  <c r="G115" i="22"/>
  <c r="G99" i="22"/>
  <c r="G240" i="22"/>
  <c r="G263" i="22"/>
  <c r="G165" i="22"/>
  <c r="G194" i="22"/>
  <c r="G176" i="22"/>
  <c r="G62" i="22"/>
  <c r="G267" i="22"/>
  <c r="G218" i="22"/>
  <c r="G211" i="22"/>
  <c r="G181" i="22"/>
  <c r="G224" i="22"/>
  <c r="G260" i="22"/>
  <c r="G200" i="22"/>
  <c r="G246" i="22"/>
  <c r="G253" i="22"/>
  <c r="G250" i="22"/>
  <c r="G178" i="22"/>
  <c r="G258" i="22"/>
  <c r="G88" i="22"/>
  <c r="G91" i="22"/>
  <c r="G74" i="22"/>
  <c r="G257" i="22"/>
  <c r="G203" i="22"/>
  <c r="G117" i="22"/>
  <c r="G120" i="22"/>
  <c r="G113" i="22"/>
  <c r="G104" i="22"/>
  <c r="G148" i="22"/>
  <c r="G248" i="22"/>
  <c r="G132" i="22"/>
  <c r="G78" i="22"/>
  <c r="G126" i="22"/>
  <c r="G265" i="22"/>
  <c r="G153" i="22"/>
  <c r="G234" i="22"/>
  <c r="G64" i="22"/>
  <c r="G110" i="22"/>
  <c r="G127" i="22"/>
  <c r="G185" i="22"/>
  <c r="G236" i="22"/>
  <c r="G280" i="22"/>
  <c r="G73" i="22"/>
  <c r="G154" i="22"/>
  <c r="G63" i="22"/>
  <c r="G141" i="22"/>
  <c r="G281" i="22"/>
  <c r="G272" i="22"/>
  <c r="G109" i="22"/>
  <c r="G130" i="22"/>
  <c r="G279" i="22"/>
  <c r="G105" i="22"/>
  <c r="G167" i="22"/>
  <c r="G170" i="22"/>
  <c r="G254" i="22"/>
  <c r="G138" i="22"/>
  <c r="G212" i="22"/>
  <c r="G96" i="22"/>
  <c r="G226" i="22"/>
  <c r="G269" i="22"/>
  <c r="G80" i="22"/>
  <c r="G112" i="22"/>
  <c r="G255" i="22"/>
  <c r="G242" i="22"/>
  <c r="G123" i="22"/>
  <c r="G187" i="22"/>
  <c r="G67" i="22"/>
  <c r="G180" i="22"/>
  <c r="G221" i="22"/>
  <c r="G85" i="22"/>
  <c r="G119" i="22"/>
  <c r="G144" i="22"/>
  <c r="G95" i="22"/>
  <c r="G238" i="22"/>
  <c r="G142" i="22"/>
  <c r="G98" i="22"/>
  <c r="G71" i="22"/>
  <c r="G121" i="22"/>
  <c r="G66" i="22"/>
  <c r="G135" i="22"/>
  <c r="G134" i="22"/>
  <c r="G86" i="22"/>
  <c r="G208" i="22"/>
  <c r="G274" i="22"/>
  <c r="G131" i="22"/>
  <c r="G83" i="22"/>
  <c r="G87" i="22"/>
  <c r="G198" i="22"/>
  <c r="G228" i="22"/>
  <c r="G128" i="22"/>
  <c r="G241" i="22"/>
  <c r="G94" i="22"/>
  <c r="G151" i="22"/>
  <c r="G97" i="22"/>
  <c r="G206" i="22"/>
  <c r="G152" i="22"/>
  <c r="G106" i="22"/>
  <c r="G188" i="22"/>
  <c r="G249" i="22"/>
  <c r="G77" i="22"/>
  <c r="G278" i="22"/>
  <c r="G163" i="22"/>
  <c r="G174" i="22"/>
  <c r="G68" i="22"/>
  <c r="G262" i="22"/>
  <c r="G270" i="22"/>
  <c r="G84" i="22"/>
  <c r="G229" i="22"/>
  <c r="G197" i="22"/>
  <c r="G286" i="22"/>
  <c r="G182" i="22"/>
  <c r="G195" i="22"/>
  <c r="G239" i="22"/>
  <c r="G184" i="22"/>
  <c r="G173" i="22"/>
  <c r="G237" i="22"/>
  <c r="G183" i="22"/>
  <c r="G133" i="22"/>
  <c r="G256" i="22"/>
  <c r="G164" i="22"/>
  <c r="G79" i="22"/>
  <c r="G223" i="22"/>
  <c r="G156" i="22"/>
  <c r="G215" i="22"/>
  <c r="G149" i="22"/>
  <c r="G146" i="22"/>
  <c r="G217" i="22"/>
  <c r="G136" i="22"/>
  <c r="G92" i="22"/>
  <c r="G89" i="22"/>
  <c r="G129" i="22"/>
  <c r="G285" i="22"/>
  <c r="G65" i="22"/>
  <c r="G193" i="22"/>
  <c r="G202" i="22"/>
  <c r="G118" i="22"/>
  <c r="G264" i="22"/>
  <c r="G277" i="22"/>
  <c r="G111" i="22"/>
  <c r="G210" i="22"/>
  <c r="G207" i="22"/>
  <c r="G213" i="22"/>
  <c r="G114" i="22"/>
  <c r="G273" i="22"/>
  <c r="G81" i="22"/>
  <c r="G103" i="22"/>
  <c r="G150" i="22"/>
  <c r="G122" i="22"/>
  <c r="G101" i="22"/>
  <c r="G145" i="22"/>
  <c r="G147" i="22"/>
  <c r="G220" i="22"/>
  <c r="G243" i="22"/>
  <c r="G271" i="22"/>
  <c r="G259" i="22"/>
  <c r="G72" i="22"/>
  <c r="G179" i="22"/>
  <c r="G100" i="22"/>
  <c r="G125" i="22"/>
  <c r="G93" i="22"/>
  <c r="G261" i="22"/>
  <c r="G191" i="22"/>
  <c r="G61" i="22"/>
  <c r="B113" i="22" l="1"/>
  <c r="B14" i="22"/>
  <c r="B225" i="22"/>
  <c r="B114" i="22"/>
  <c r="B121" i="22" l="1"/>
  <c r="B123" i="22"/>
  <c r="B150" i="22"/>
  <c r="B159" i="22"/>
  <c r="B88" i="22"/>
  <c r="B157" i="22"/>
  <c r="B180" i="22"/>
  <c r="B189" i="22"/>
  <c r="B137" i="22"/>
  <c r="B169" i="22"/>
  <c r="A2" i="79" l="1"/>
  <c r="A2" i="78"/>
  <c r="O31" i="77"/>
  <c r="N31" i="77"/>
  <c r="M31" i="77"/>
  <c r="O28" i="77"/>
  <c r="N28" i="77"/>
  <c r="M28" i="77"/>
  <c r="O25" i="77"/>
  <c r="N25" i="77"/>
  <c r="M25" i="77"/>
  <c r="O22" i="77"/>
  <c r="N22" i="77"/>
  <c r="M22" i="77"/>
  <c r="O19" i="77"/>
  <c r="N19" i="77"/>
  <c r="M19" i="77"/>
  <c r="O16" i="77"/>
  <c r="N16" i="77"/>
  <c r="M16" i="77"/>
  <c r="O13" i="77"/>
  <c r="N13" i="77"/>
  <c r="M13" i="77"/>
  <c r="N10" i="77"/>
  <c r="M10" i="77"/>
  <c r="N7" i="77"/>
  <c r="M7" i="77"/>
  <c r="N4" i="77"/>
  <c r="L10" i="77" l="1"/>
  <c r="P12" i="77" s="1"/>
  <c r="L7" i="77"/>
  <c r="P9" i="77" s="1"/>
  <c r="L19" i="77"/>
  <c r="P21" i="77" s="1"/>
  <c r="L13" i="77"/>
  <c r="P15" i="77" s="1"/>
  <c r="L4" i="77"/>
  <c r="P6" i="77" s="1"/>
  <c r="L16" i="77"/>
  <c r="P18" i="77" s="1"/>
  <c r="L22" i="77"/>
  <c r="P24" i="77" s="1"/>
  <c r="L25" i="77"/>
  <c r="P27" i="77" s="1"/>
  <c r="L28" i="77"/>
  <c r="P30" i="77" s="1"/>
  <c r="L31" i="77"/>
  <c r="A3" i="79"/>
  <c r="A3" i="78"/>
  <c r="A3" i="77"/>
  <c r="B111" i="22"/>
  <c r="B94" i="22"/>
  <c r="B105" i="22"/>
  <c r="B184" i="22"/>
  <c r="B172" i="22"/>
  <c r="B129" i="22"/>
  <c r="B218" i="22"/>
  <c r="B242" i="22"/>
  <c r="B160" i="22"/>
  <c r="B197" i="22"/>
  <c r="B266" i="22"/>
  <c r="P10" i="77" l="1"/>
  <c r="P22" i="77"/>
  <c r="P25" i="77"/>
  <c r="P31" i="77"/>
  <c r="P13" i="77"/>
  <c r="P4" i="77"/>
  <c r="P16" i="77"/>
  <c r="P33" i="77"/>
  <c r="P19" i="77"/>
  <c r="P7" i="77"/>
  <c r="P28" i="77"/>
  <c r="A2" i="67"/>
  <c r="A2" i="66"/>
  <c r="A2" i="69"/>
  <c r="A2" i="70"/>
  <c r="A2" i="74"/>
  <c r="A2" i="75"/>
  <c r="B3" i="22"/>
  <c r="B143" i="22"/>
  <c r="B156" i="22"/>
  <c r="B165" i="22"/>
  <c r="B6" i="22"/>
  <c r="B7" i="22"/>
  <c r="B8" i="22"/>
  <c r="B268" i="22"/>
  <c r="B84" i="22"/>
  <c r="B146" i="22"/>
  <c r="B16" i="22"/>
  <c r="B212" i="22"/>
  <c r="B214" i="22"/>
  <c r="B249" i="22"/>
  <c r="B257" i="22"/>
  <c r="B13" i="22"/>
  <c r="B149" i="22"/>
  <c r="B203" i="22"/>
  <c r="B55" i="22"/>
  <c r="B246" i="22"/>
  <c r="B252" i="22"/>
  <c r="B28" i="22"/>
  <c r="B151" i="22"/>
  <c r="B164" i="22"/>
  <c r="B241" i="22"/>
  <c r="B48" i="22"/>
  <c r="B245" i="22"/>
  <c r="B209" i="22"/>
  <c r="B17" i="22"/>
  <c r="B260" i="22"/>
  <c r="B109" i="22"/>
  <c r="B112" i="22"/>
  <c r="B135" i="22"/>
  <c r="B193" i="22"/>
  <c r="B57" i="22"/>
  <c r="B36" i="22"/>
  <c r="B235" i="22"/>
  <c r="B66" i="22"/>
  <c r="B82" i="22"/>
  <c r="B54" i="22"/>
  <c r="B144" i="22"/>
  <c r="B45" i="22"/>
  <c r="B166" i="22"/>
  <c r="B200" i="22"/>
  <c r="B221" i="22"/>
  <c r="B96" i="22"/>
  <c r="B141" i="22"/>
  <c r="B147" i="22"/>
  <c r="B152" i="22"/>
  <c r="B175" i="22"/>
  <c r="B202" i="22"/>
  <c r="B220" i="22"/>
  <c r="B230" i="22"/>
  <c r="B61" i="22"/>
  <c r="B62" i="22"/>
  <c r="B63" i="22"/>
  <c r="B65" i="22"/>
  <c r="B67" i="22"/>
  <c r="B68" i="22"/>
  <c r="B70" i="22"/>
  <c r="B73" i="22"/>
  <c r="B74" i="22"/>
  <c r="B75" i="22"/>
  <c r="B76" i="22"/>
  <c r="B77" i="22"/>
  <c r="B79" i="22"/>
  <c r="B80" i="22"/>
  <c r="B85" i="22"/>
  <c r="B12" i="22"/>
  <c r="B86" i="22"/>
  <c r="B87" i="22"/>
  <c r="B89" i="22"/>
  <c r="B90" i="22"/>
  <c r="B91" i="22"/>
  <c r="B92" i="22"/>
  <c r="B93" i="22"/>
  <c r="B95" i="22"/>
  <c r="B97" i="22"/>
  <c r="B98" i="22"/>
  <c r="B99" i="22"/>
  <c r="B100" i="22"/>
  <c r="B101" i="22"/>
  <c r="B102" i="22"/>
  <c r="B104" i="22"/>
  <c r="B106" i="22"/>
  <c r="B107" i="22"/>
  <c r="B108" i="22"/>
  <c r="B110" i="22"/>
  <c r="B116" i="22"/>
  <c r="B117" i="22"/>
  <c r="B118" i="22"/>
  <c r="B119" i="22"/>
  <c r="B120" i="22"/>
  <c r="B122" i="22"/>
  <c r="B124" i="22"/>
  <c r="B126" i="22"/>
  <c r="B127" i="22"/>
  <c r="B128" i="22"/>
  <c r="B130" i="22"/>
  <c r="B131" i="22"/>
  <c r="B132" i="22"/>
  <c r="B133" i="22"/>
  <c r="B134" i="22"/>
  <c r="B136" i="22"/>
  <c r="B139" i="22"/>
  <c r="B140" i="22"/>
  <c r="B142" i="22"/>
  <c r="B145" i="22"/>
  <c r="B148" i="22"/>
  <c r="B153" i="22"/>
  <c r="B154" i="22"/>
  <c r="B161" i="22"/>
  <c r="B162" i="22"/>
  <c r="B163" i="22"/>
  <c r="B167" i="22"/>
  <c r="B168" i="22"/>
  <c r="B170" i="22"/>
  <c r="B177" i="22"/>
  <c r="B178" i="22"/>
  <c r="B179" i="22"/>
  <c r="B181" i="22"/>
  <c r="B182" i="22"/>
  <c r="B185" i="22"/>
  <c r="B186" i="22"/>
  <c r="B187" i="22"/>
  <c r="B188" i="22"/>
  <c r="B192" i="22"/>
  <c r="B194" i="22"/>
  <c r="B196" i="22"/>
  <c r="B198" i="22"/>
  <c r="B199" i="22"/>
  <c r="B201" i="22"/>
  <c r="B204" i="22"/>
  <c r="B205" i="22"/>
  <c r="B206" i="22"/>
  <c r="B207" i="22"/>
  <c r="B208" i="22"/>
  <c r="B210" i="22"/>
  <c r="B211" i="22"/>
  <c r="B213" i="22"/>
  <c r="B216" i="22"/>
  <c r="B217" i="22"/>
  <c r="B37" i="22"/>
  <c r="B219" i="22"/>
  <c r="B222" i="22"/>
  <c r="B223" i="22"/>
  <c r="B224" i="22"/>
  <c r="B226" i="22"/>
  <c r="B227" i="22"/>
  <c r="B27" i="22"/>
  <c r="B228" i="22"/>
  <c r="B229" i="22"/>
  <c r="B231" i="22"/>
  <c r="B232" i="22"/>
  <c r="B233" i="22"/>
  <c r="B234" i="22"/>
  <c r="B236" i="22"/>
  <c r="B237" i="22"/>
  <c r="B238" i="22"/>
  <c r="B239" i="22"/>
  <c r="B240" i="22"/>
  <c r="B243" i="22"/>
  <c r="B244" i="22"/>
  <c r="B250" i="22"/>
  <c r="B251" i="22"/>
  <c r="B254" i="22"/>
  <c r="B256" i="22"/>
  <c r="B258" i="22"/>
  <c r="B259" i="22"/>
  <c r="B261" i="22"/>
  <c r="B262" i="22"/>
  <c r="B263" i="22"/>
  <c r="B265" i="22"/>
  <c r="B267" i="22"/>
  <c r="B269" i="22"/>
  <c r="B270" i="22"/>
  <c r="B271" i="22"/>
  <c r="B272" i="22"/>
  <c r="B273" i="22"/>
  <c r="B264" i="22"/>
  <c r="B174" i="22"/>
  <c r="B58" i="22"/>
  <c r="M28" i="67"/>
  <c r="N28" i="67"/>
  <c r="L25" i="75"/>
  <c r="M25" i="75"/>
  <c r="L28" i="75"/>
  <c r="M28" i="75"/>
  <c r="L25" i="70"/>
  <c r="M25" i="70"/>
  <c r="L28" i="70"/>
  <c r="M28" i="70"/>
  <c r="N28" i="69"/>
  <c r="O28" i="69"/>
  <c r="L28" i="74"/>
  <c r="M28" i="74"/>
  <c r="L25" i="74"/>
  <c r="M25" i="74"/>
  <c r="L28" i="66"/>
  <c r="M28" i="66"/>
  <c r="M25" i="67"/>
  <c r="N25" i="67"/>
  <c r="O25" i="67"/>
  <c r="M19" i="67"/>
  <c r="N19" i="67"/>
  <c r="M13" i="67"/>
  <c r="N13" i="67"/>
  <c r="M7" i="67"/>
  <c r="N7" i="67"/>
  <c r="M10" i="67"/>
  <c r="N10" i="67"/>
  <c r="M16" i="67"/>
  <c r="N16" i="67"/>
  <c r="M22" i="67"/>
  <c r="N22" i="67"/>
  <c r="M4" i="67"/>
  <c r="N4" i="67"/>
  <c r="M31" i="67"/>
  <c r="N31" i="67"/>
  <c r="L22" i="75"/>
  <c r="M22" i="75"/>
  <c r="L19" i="75"/>
  <c r="M19" i="75"/>
  <c r="L4" i="75"/>
  <c r="M4" i="75"/>
  <c r="L7" i="75"/>
  <c r="M7" i="75"/>
  <c r="L10" i="75"/>
  <c r="M10" i="75"/>
  <c r="L13" i="75"/>
  <c r="M13" i="75"/>
  <c r="L16" i="75"/>
  <c r="M16" i="75"/>
  <c r="L22" i="70"/>
  <c r="M22" i="70"/>
  <c r="L4" i="70"/>
  <c r="M4" i="70"/>
  <c r="L7" i="70"/>
  <c r="M7" i="70"/>
  <c r="L10" i="70"/>
  <c r="M10" i="70"/>
  <c r="L13" i="70"/>
  <c r="M13" i="70"/>
  <c r="L16" i="70"/>
  <c r="M16" i="70"/>
  <c r="L19" i="70"/>
  <c r="M19" i="70"/>
  <c r="N25" i="69"/>
  <c r="O25" i="69"/>
  <c r="N19" i="69"/>
  <c r="O19" i="69"/>
  <c r="N4" i="69"/>
  <c r="O4" i="69"/>
  <c r="N7" i="69"/>
  <c r="O7" i="69"/>
  <c r="N10" i="69"/>
  <c r="O10" i="69"/>
  <c r="N13" i="69"/>
  <c r="O13" i="69"/>
  <c r="N16" i="69"/>
  <c r="O16" i="69"/>
  <c r="N22" i="69"/>
  <c r="O22" i="69"/>
  <c r="A2" i="65"/>
  <c r="L22" i="74"/>
  <c r="M22" i="74"/>
  <c r="O31" i="67"/>
  <c r="L7" i="66"/>
  <c r="M7" i="66"/>
  <c r="L4" i="66"/>
  <c r="M4" i="66"/>
  <c r="L10" i="66"/>
  <c r="M10" i="66"/>
  <c r="L13" i="66"/>
  <c r="M13" i="66"/>
  <c r="L16" i="66"/>
  <c r="M16" i="66"/>
  <c r="L19" i="66"/>
  <c r="M19" i="66"/>
  <c r="L22" i="66"/>
  <c r="M22" i="66"/>
  <c r="L25" i="66"/>
  <c r="M25" i="66"/>
  <c r="O4" i="67"/>
  <c r="O7" i="67"/>
  <c r="O10" i="67"/>
  <c r="O19" i="67"/>
  <c r="O28" i="67"/>
  <c r="O16" i="67"/>
  <c r="O22" i="67"/>
  <c r="L4" i="74"/>
  <c r="M4" i="74"/>
  <c r="L7" i="74"/>
  <c r="M7" i="74"/>
  <c r="L10" i="74"/>
  <c r="M10" i="74"/>
  <c r="L13" i="74"/>
  <c r="M13" i="74"/>
  <c r="L16" i="74"/>
  <c r="M16" i="74"/>
  <c r="L19" i="74"/>
  <c r="M19" i="74"/>
  <c r="O13" i="67"/>
  <c r="N28" i="75"/>
  <c r="N25" i="75"/>
  <c r="N22" i="75"/>
  <c r="N19" i="75"/>
  <c r="N16" i="75"/>
  <c r="N13" i="75"/>
  <c r="N10" i="75"/>
  <c r="N7" i="75"/>
  <c r="N4" i="75"/>
  <c r="N28" i="74"/>
  <c r="N25" i="74"/>
  <c r="N22" i="74"/>
  <c r="N19" i="74"/>
  <c r="N16" i="74"/>
  <c r="N13" i="74"/>
  <c r="N10" i="74"/>
  <c r="N7" i="74"/>
  <c r="N4" i="74"/>
  <c r="N28" i="70"/>
  <c r="N25" i="70"/>
  <c r="N22" i="70"/>
  <c r="N19" i="70"/>
  <c r="N16" i="70"/>
  <c r="N13" i="70"/>
  <c r="N10" i="70"/>
  <c r="N7" i="70"/>
  <c r="N4" i="70"/>
  <c r="P28" i="69"/>
  <c r="P25" i="69"/>
  <c r="P22" i="69"/>
  <c r="P19" i="69"/>
  <c r="P16" i="69"/>
  <c r="P13" i="69"/>
  <c r="P10" i="69"/>
  <c r="P7" i="69"/>
  <c r="P4" i="69"/>
  <c r="N25" i="66"/>
  <c r="N28" i="66"/>
  <c r="N7" i="66"/>
  <c r="N4" i="66"/>
  <c r="N10" i="66"/>
  <c r="N13" i="66"/>
  <c r="N16" i="66"/>
  <c r="N19" i="66"/>
  <c r="N22" i="66"/>
  <c r="L28" i="65"/>
  <c r="M28" i="65"/>
  <c r="N28" i="65"/>
  <c r="L4" i="65"/>
  <c r="M4" i="65"/>
  <c r="N4" i="65"/>
  <c r="L7" i="65"/>
  <c r="M7" i="65"/>
  <c r="N7" i="65"/>
  <c r="L10" i="65"/>
  <c r="M10" i="65"/>
  <c r="N10" i="65"/>
  <c r="L13" i="65"/>
  <c r="M13" i="65"/>
  <c r="N13" i="65"/>
  <c r="L16" i="65"/>
  <c r="M16" i="65"/>
  <c r="N16" i="65"/>
  <c r="L19" i="65"/>
  <c r="M19" i="65"/>
  <c r="N19" i="65"/>
  <c r="L22" i="65"/>
  <c r="M22" i="65"/>
  <c r="N22" i="65"/>
  <c r="L25" i="65"/>
  <c r="M25" i="65"/>
  <c r="N25" i="65"/>
  <c r="L7" i="34"/>
  <c r="M7" i="34"/>
  <c r="N7" i="34"/>
  <c r="L10" i="34"/>
  <c r="M10" i="34"/>
  <c r="N10" i="34"/>
  <c r="L13" i="34"/>
  <c r="M13" i="34"/>
  <c r="N13" i="34"/>
  <c r="L16" i="34"/>
  <c r="M16" i="34"/>
  <c r="N16" i="34"/>
  <c r="L19" i="34"/>
  <c r="M19" i="34"/>
  <c r="N19" i="34"/>
  <c r="L22" i="34"/>
  <c r="M22" i="34"/>
  <c r="N22" i="34"/>
  <c r="L4" i="34"/>
  <c r="M4" i="34"/>
  <c r="N4" i="34"/>
  <c r="L25" i="34"/>
  <c r="M25" i="34"/>
  <c r="N25" i="34"/>
  <c r="L28" i="34"/>
  <c r="M28" i="34"/>
  <c r="N28" i="34"/>
  <c r="A2" i="34"/>
  <c r="A3" i="34" s="1"/>
  <c r="M7" i="69" l="1"/>
  <c r="Q9" i="69" s="1"/>
  <c r="K10" i="75"/>
  <c r="O12" i="75" s="1"/>
  <c r="L4" i="67"/>
  <c r="K22" i="34"/>
  <c r="K19" i="75"/>
  <c r="O21" i="75" s="1"/>
  <c r="M10" i="69"/>
  <c r="K10" i="34"/>
  <c r="K10" i="66"/>
  <c r="O12" i="66" s="1"/>
  <c r="M16" i="69"/>
  <c r="K4" i="70"/>
  <c r="O6" i="70" s="1"/>
  <c r="K4" i="75"/>
  <c r="K13" i="34"/>
  <c r="K13" i="66"/>
  <c r="O15" i="66" s="1"/>
  <c r="K25" i="34"/>
  <c r="K16" i="34"/>
  <c r="K7" i="74"/>
  <c r="O9" i="74" s="1"/>
  <c r="M19" i="69"/>
  <c r="K7" i="70"/>
  <c r="O9" i="70" s="1"/>
  <c r="K4" i="34"/>
  <c r="K28" i="34"/>
  <c r="K19" i="34"/>
  <c r="K7" i="34"/>
  <c r="M4" i="69"/>
  <c r="K19" i="74"/>
  <c r="O21" i="74" s="1"/>
  <c r="M28" i="69"/>
  <c r="Q30" i="69" s="1"/>
  <c r="K19" i="70"/>
  <c r="L7" i="67"/>
  <c r="P9" i="67" s="1"/>
  <c r="L19" i="67"/>
  <c r="K19" i="65"/>
  <c r="K7" i="65"/>
  <c r="K10" i="74"/>
  <c r="K22" i="66"/>
  <c r="K16" i="66"/>
  <c r="K4" i="66"/>
  <c r="M22" i="69"/>
  <c r="K16" i="70"/>
  <c r="K10" i="70"/>
  <c r="K13" i="75"/>
  <c r="O15" i="75" s="1"/>
  <c r="L31" i="67"/>
  <c r="P33" i="67" s="1"/>
  <c r="K16" i="65"/>
  <c r="K4" i="65"/>
  <c r="L22" i="67"/>
  <c r="L10" i="67"/>
  <c r="P12" i="67" s="1"/>
  <c r="K22" i="70"/>
  <c r="K28" i="70"/>
  <c r="K28" i="75"/>
  <c r="O30" i="75" s="1"/>
  <c r="K25" i="70"/>
  <c r="K25" i="74"/>
  <c r="O27" i="74" s="1"/>
  <c r="K10" i="65"/>
  <c r="K13" i="65"/>
  <c r="K16" i="74"/>
  <c r="K19" i="66"/>
  <c r="K7" i="66"/>
  <c r="M13" i="69"/>
  <c r="K13" i="70"/>
  <c r="K16" i="75"/>
  <c r="K7" i="75"/>
  <c r="L16" i="67"/>
  <c r="L13" i="67"/>
  <c r="K28" i="66"/>
  <c r="O30" i="66" s="1"/>
  <c r="K25" i="75"/>
  <c r="O27" i="75" s="1"/>
  <c r="K4" i="74"/>
  <c r="K22" i="65"/>
  <c r="O24" i="66"/>
  <c r="K13" i="74"/>
  <c r="K25" i="66"/>
  <c r="O27" i="66" s="1"/>
  <c r="K22" i="75"/>
  <c r="K22" i="74"/>
  <c r="K28" i="74"/>
  <c r="K25" i="65"/>
  <c r="K28" i="65"/>
  <c r="M25" i="69"/>
  <c r="A3" i="69"/>
  <c r="A3" i="75"/>
  <c r="A3" i="66"/>
  <c r="A3" i="74"/>
  <c r="A3" i="70"/>
  <c r="A3" i="67"/>
  <c r="A3" i="65"/>
  <c r="L28" i="67"/>
  <c r="P30" i="67" s="1"/>
  <c r="L25" i="67"/>
  <c r="O21" i="70" l="1"/>
  <c r="O19" i="70"/>
  <c r="O7" i="70"/>
  <c r="Q31" i="69"/>
  <c r="Q7" i="69"/>
  <c r="Q19" i="69"/>
  <c r="Q28" i="69"/>
  <c r="Q4" i="69"/>
  <c r="Q25" i="69"/>
  <c r="Q22" i="69"/>
  <c r="Q16" i="69"/>
  <c r="Q10" i="69"/>
  <c r="Q13" i="69"/>
  <c r="Q34" i="69"/>
  <c r="Q24" i="69"/>
  <c r="O22" i="34"/>
  <c r="O4" i="34"/>
  <c r="O16" i="34"/>
  <c r="O25" i="34"/>
  <c r="O13" i="34"/>
  <c r="O19" i="34"/>
  <c r="O22" i="66"/>
  <c r="O28" i="34"/>
  <c r="O10" i="34"/>
  <c r="O19" i="75"/>
  <c r="O18" i="74" l="1"/>
  <c r="O16" i="74"/>
  <c r="O15" i="70"/>
  <c r="O13" i="70"/>
  <c r="O18" i="75"/>
  <c r="O16" i="75"/>
  <c r="O9" i="75"/>
  <c r="O7" i="75"/>
  <c r="P10" i="67"/>
  <c r="P22" i="67"/>
  <c r="P24" i="67"/>
  <c r="P19" i="67"/>
  <c r="P21" i="67"/>
  <c r="O27" i="70"/>
  <c r="O25" i="70"/>
  <c r="O21" i="65"/>
  <c r="O19" i="65"/>
  <c r="O24" i="74"/>
  <c r="O22" i="74"/>
  <c r="O24" i="65"/>
  <c r="O22" i="65"/>
  <c r="O10" i="74"/>
  <c r="O12" i="74"/>
  <c r="Q15" i="69"/>
  <c r="Q27" i="69"/>
  <c r="O16" i="70"/>
  <c r="O27" i="65"/>
  <c r="O25" i="65"/>
  <c r="O15" i="65"/>
  <c r="O13" i="65"/>
  <c r="O30" i="65"/>
  <c r="O28" i="65"/>
  <c r="O25" i="66"/>
  <c r="O13" i="75"/>
  <c r="O30" i="74"/>
  <c r="O28" i="74"/>
  <c r="O9" i="65"/>
  <c r="O7" i="65"/>
  <c r="P25" i="67"/>
  <c r="P27" i="67"/>
  <c r="O12" i="65"/>
  <c r="O10" i="65"/>
  <c r="O6" i="74"/>
  <c r="O4" i="74"/>
  <c r="O21" i="66"/>
  <c r="O19" i="66"/>
  <c r="O9" i="66"/>
  <c r="O7" i="66"/>
  <c r="O18" i="65"/>
  <c r="O16" i="65"/>
  <c r="O6" i="65"/>
  <c r="O4" i="65"/>
  <c r="O13" i="74"/>
  <c r="O15" i="74"/>
  <c r="O16" i="66"/>
  <c r="O18" i="66"/>
  <c r="O10" i="66"/>
  <c r="O4" i="66"/>
  <c r="O6" i="66"/>
  <c r="O13" i="66"/>
  <c r="O28" i="66"/>
  <c r="Q12" i="69"/>
  <c r="Q21" i="69"/>
  <c r="O12" i="70"/>
  <c r="O10" i="70"/>
  <c r="O22" i="70"/>
  <c r="O24" i="70"/>
  <c r="O28" i="75"/>
  <c r="O6" i="75"/>
  <c r="O4" i="75"/>
  <c r="O25" i="75"/>
  <c r="O22" i="75"/>
  <c r="P16" i="67"/>
  <c r="P18" i="67"/>
  <c r="P31" i="67"/>
  <c r="P13" i="67"/>
  <c r="P15" i="67"/>
  <c r="O28" i="70"/>
  <c r="O30" i="70"/>
  <c r="P6" i="67"/>
  <c r="P28" i="67"/>
  <c r="O25" i="74"/>
  <c r="O4" i="70"/>
  <c r="O10" i="75"/>
  <c r="P4" i="67"/>
  <c r="P7" i="67"/>
  <c r="Q18" i="69"/>
  <c r="Q6" i="69"/>
  <c r="O18" i="70"/>
  <c r="O19" i="74"/>
  <c r="O7" i="74"/>
  <c r="O7" i="34"/>
  <c r="O24" i="75"/>
  <c r="E12" i="22" l="1"/>
  <c r="E13" i="22" l="1"/>
  <c r="E2" i="22" s="1"/>
  <c r="F12" i="22"/>
  <c r="A12" i="22" s="1"/>
  <c r="E3" i="22" l="1"/>
  <c r="F3" i="22" s="1"/>
  <c r="A3" i="22" s="1"/>
  <c r="A2" i="22"/>
  <c r="F13" i="22"/>
  <c r="A13" i="22" s="1"/>
  <c r="B7" i="29" l="1"/>
  <c r="B6" i="29"/>
  <c r="B1" i="77"/>
  <c r="E4" i="22"/>
  <c r="F4" i="22" l="1"/>
  <c r="A4" i="22" s="1"/>
  <c r="B8" i="29" l="1"/>
  <c r="E22" i="22"/>
  <c r="F22" i="22" l="1"/>
  <c r="A22" i="22" s="1"/>
  <c r="E14" i="22"/>
  <c r="F14" i="22" l="1"/>
  <c r="A14" i="22" s="1"/>
  <c r="E23" i="22" l="1"/>
  <c r="F23" i="22" l="1"/>
  <c r="A23" i="22" s="1"/>
  <c r="E15" i="22" l="1"/>
  <c r="F15" i="22" l="1"/>
  <c r="A15" i="22" s="1"/>
  <c r="E61" i="22" l="1"/>
  <c r="F61" i="22" s="1"/>
  <c r="E33" i="22" l="1"/>
  <c r="E62" i="22"/>
  <c r="E63" i="22" s="1"/>
  <c r="F63" i="22" s="1"/>
  <c r="F33" i="22" l="1"/>
  <c r="A33" i="22" s="1"/>
  <c r="E34" i="22"/>
  <c r="E64" i="22"/>
  <c r="F64" i="22" s="1"/>
  <c r="F62" i="22"/>
  <c r="E24" i="22" l="1"/>
  <c r="E25" i="22" s="1"/>
  <c r="F25" i="22" s="1"/>
  <c r="A25" i="22" s="1"/>
  <c r="E65" i="22"/>
  <c r="F65" i="22" s="1"/>
  <c r="F34" i="22"/>
  <c r="A34" i="22" s="1"/>
  <c r="E66" i="22" l="1"/>
  <c r="E67" i="22" s="1"/>
  <c r="F24" i="22"/>
  <c r="A24" i="22" s="1"/>
  <c r="F66" i="22" l="1"/>
  <c r="F67" i="22"/>
  <c r="E68" i="22"/>
  <c r="E69" i="22" s="1"/>
  <c r="E26" i="22" l="1"/>
  <c r="F69" i="22"/>
  <c r="A69" i="22" s="1"/>
  <c r="F68" i="22"/>
  <c r="E70" i="22"/>
  <c r="F26" i="22" l="1"/>
  <c r="A26" i="22" s="1"/>
  <c r="F70" i="22"/>
  <c r="A70" i="22" s="1"/>
  <c r="E71" i="22"/>
  <c r="E72" i="22" l="1"/>
  <c r="F71" i="22"/>
  <c r="A71" i="22" s="1"/>
  <c r="F72" i="22" l="1"/>
  <c r="A72" i="22" s="1"/>
  <c r="E73" i="22"/>
  <c r="F73" i="22" l="1"/>
  <c r="A73" i="22" s="1"/>
  <c r="E74" i="22"/>
  <c r="F74" i="22" l="1"/>
  <c r="A74" i="22" s="1"/>
  <c r="E75" i="22"/>
  <c r="E76" i="22" l="1"/>
  <c r="F75" i="22"/>
  <c r="A75" i="22" s="1"/>
  <c r="F76" i="22" l="1"/>
  <c r="A76" i="22" s="1"/>
  <c r="E77" i="22"/>
  <c r="F77" i="22" l="1"/>
  <c r="A77" i="22" s="1"/>
  <c r="E78" i="22"/>
  <c r="F78" i="22" l="1"/>
  <c r="A78" i="22" s="1"/>
  <c r="E79" i="22"/>
  <c r="E80" i="22" l="1"/>
  <c r="F79" i="22"/>
  <c r="A79" i="22" s="1"/>
  <c r="F80" i="22" l="1"/>
  <c r="A80" i="22" s="1"/>
  <c r="E81" i="22"/>
  <c r="F81" i="22" l="1"/>
  <c r="A81" i="22" s="1"/>
  <c r="E82" i="22"/>
  <c r="F82" i="22" l="1"/>
  <c r="A82" i="22" s="1"/>
  <c r="E83" i="22"/>
  <c r="E84" i="22" l="1"/>
  <c r="F83" i="22"/>
  <c r="A83" i="22" s="1"/>
  <c r="F84" i="22" l="1"/>
  <c r="A84" i="22" s="1"/>
  <c r="E85" i="22"/>
  <c r="F85" i="22" l="1"/>
  <c r="A85" i="22" s="1"/>
  <c r="E86" i="22"/>
  <c r="F86" i="22" l="1"/>
  <c r="A86" i="22" s="1"/>
  <c r="E87" i="22"/>
  <c r="E88" i="22" l="1"/>
  <c r="F87" i="22"/>
  <c r="A87" i="22" s="1"/>
  <c r="F88" i="22" l="1"/>
  <c r="A88" i="22" s="1"/>
  <c r="E89" i="22"/>
  <c r="F89" i="22" l="1"/>
  <c r="A89" i="22" s="1"/>
  <c r="E90" i="22"/>
  <c r="F90" i="22" l="1"/>
  <c r="A90" i="22" s="1"/>
  <c r="E91" i="22"/>
  <c r="E92" i="22" l="1"/>
  <c r="F91" i="22"/>
  <c r="A91" i="22" s="1"/>
  <c r="F92" i="22" l="1"/>
  <c r="A92" i="22" s="1"/>
  <c r="E93" i="22"/>
  <c r="F93" i="22" l="1"/>
  <c r="A93" i="22" s="1"/>
  <c r="E94" i="22"/>
  <c r="F94" i="22" l="1"/>
  <c r="A94" i="22" s="1"/>
  <c r="E95" i="22"/>
  <c r="E96" i="22" l="1"/>
  <c r="F95" i="22"/>
  <c r="A95" i="22" s="1"/>
  <c r="F96" i="22" l="1"/>
  <c r="A96" i="22" s="1"/>
  <c r="E97" i="22"/>
  <c r="F97" i="22" l="1"/>
  <c r="A97" i="22" s="1"/>
  <c r="E98" i="22"/>
  <c r="F98" i="22" l="1"/>
  <c r="A98" i="22" s="1"/>
  <c r="E99" i="22"/>
  <c r="E100" i="22" l="1"/>
  <c r="F99" i="22"/>
  <c r="A99" i="22" s="1"/>
  <c r="F100" i="22" l="1"/>
  <c r="A100" i="22" s="1"/>
  <c r="E101" i="22"/>
  <c r="F101" i="22" l="1"/>
  <c r="A101" i="22" s="1"/>
  <c r="E102" i="22"/>
  <c r="F102" i="22" l="1"/>
  <c r="A102" i="22" s="1"/>
  <c r="E103" i="22"/>
  <c r="E104" i="22" l="1"/>
  <c r="F103" i="22"/>
  <c r="A103" i="22" s="1"/>
  <c r="F104" i="22" l="1"/>
  <c r="A104" i="22" s="1"/>
  <c r="E105" i="22"/>
  <c r="F105" i="22" l="1"/>
  <c r="A105" i="22" s="1"/>
  <c r="E106" i="22"/>
  <c r="F106" i="22" l="1"/>
  <c r="A106" i="22" s="1"/>
  <c r="E107" i="22"/>
  <c r="E108" i="22" l="1"/>
  <c r="F107" i="22"/>
  <c r="A107" i="22" s="1"/>
  <c r="F108" i="22" l="1"/>
  <c r="A108" i="22" s="1"/>
  <c r="E109" i="22"/>
  <c r="F109" i="22" l="1"/>
  <c r="A109" i="22" s="1"/>
  <c r="E110" i="22"/>
  <c r="E111" i="22" s="1"/>
  <c r="F111" i="22" s="1"/>
  <c r="A111" i="22" s="1"/>
  <c r="F110" i="22" l="1"/>
  <c r="A110" i="22" s="1"/>
  <c r="E112" i="22"/>
  <c r="E113" i="22" l="1"/>
  <c r="F112" i="22"/>
  <c r="A112" i="22" s="1"/>
  <c r="F113" i="22" l="1"/>
  <c r="A113" i="22" s="1"/>
  <c r="E114" i="22"/>
  <c r="F114" i="22" l="1"/>
  <c r="A114" i="22" s="1"/>
  <c r="E115" i="22"/>
  <c r="F115" i="22" l="1"/>
  <c r="A115" i="22" s="1"/>
  <c r="E116" i="22"/>
  <c r="E117" i="22" l="1"/>
  <c r="F116" i="22"/>
  <c r="A116" i="22" s="1"/>
  <c r="F117" i="22" l="1"/>
  <c r="A117" i="22" s="1"/>
  <c r="E118" i="22"/>
  <c r="F118" i="22" l="1"/>
  <c r="A118" i="22" s="1"/>
  <c r="E119" i="22"/>
  <c r="F119" i="22" l="1"/>
  <c r="A119" i="22" s="1"/>
  <c r="E120" i="22"/>
  <c r="E121" i="22" l="1"/>
  <c r="F120" i="22"/>
  <c r="A120" i="22" s="1"/>
  <c r="F121" i="22" l="1"/>
  <c r="A121" i="22" s="1"/>
  <c r="E122" i="22"/>
  <c r="F122" i="22" l="1"/>
  <c r="A122" i="22" s="1"/>
  <c r="E123" i="22"/>
  <c r="F123" i="22" l="1"/>
  <c r="A123" i="22" s="1"/>
  <c r="E124" i="22"/>
  <c r="E125" i="22" l="1"/>
  <c r="F124" i="22"/>
  <c r="A124" i="22" s="1"/>
  <c r="F125" i="22" l="1"/>
  <c r="A125" i="22" s="1"/>
  <c r="E126" i="22"/>
  <c r="F126" i="22" l="1"/>
  <c r="A126" i="22" s="1"/>
  <c r="E127" i="22"/>
  <c r="F127" i="22" l="1"/>
  <c r="A127" i="22" s="1"/>
  <c r="E128" i="22"/>
  <c r="E129" i="22" l="1"/>
  <c r="F128" i="22"/>
  <c r="A128" i="22" s="1"/>
  <c r="F129" i="22" l="1"/>
  <c r="A129" i="22" s="1"/>
  <c r="E130" i="22"/>
  <c r="F130" i="22" l="1"/>
  <c r="A130" i="22" s="1"/>
  <c r="E131" i="22"/>
  <c r="F131" i="22" l="1"/>
  <c r="A131" i="22" s="1"/>
  <c r="E132" i="22"/>
  <c r="E133" i="22" l="1"/>
  <c r="F132" i="22"/>
  <c r="A132" i="22" s="1"/>
  <c r="F133" i="22" l="1"/>
  <c r="A133" i="22" s="1"/>
  <c r="E134" i="22"/>
  <c r="F134" i="22" l="1"/>
  <c r="A134" i="22" s="1"/>
  <c r="E135" i="22"/>
  <c r="F135" i="22" l="1"/>
  <c r="A135" i="22" s="1"/>
  <c r="E136" i="22"/>
  <c r="E137" i="22" l="1"/>
  <c r="F136" i="22"/>
  <c r="A136" i="22" s="1"/>
  <c r="F137" i="22" l="1"/>
  <c r="A137" i="22" s="1"/>
  <c r="E138" i="22"/>
  <c r="F138" i="22" l="1"/>
  <c r="A138" i="22" s="1"/>
  <c r="E139" i="22"/>
  <c r="F139" i="22" l="1"/>
  <c r="A139" i="22" s="1"/>
  <c r="E140" i="22"/>
  <c r="E141" i="22" l="1"/>
  <c r="F140" i="22"/>
  <c r="A140" i="22" s="1"/>
  <c r="F141" i="22" l="1"/>
  <c r="A141" i="22" s="1"/>
  <c r="E142" i="22"/>
  <c r="F142" i="22" l="1"/>
  <c r="A142" i="22" s="1"/>
  <c r="E143" i="22"/>
  <c r="F143" i="22" l="1"/>
  <c r="A143" i="22" s="1"/>
  <c r="E144" i="22"/>
  <c r="E145" i="22" l="1"/>
  <c r="E146" i="22" s="1"/>
  <c r="F146" i="22" s="1"/>
  <c r="A146" i="22" s="1"/>
  <c r="F144" i="22"/>
  <c r="A144" i="22" s="1"/>
  <c r="F145" i="22" l="1"/>
  <c r="A145" i="22" s="1"/>
  <c r="E44" i="22"/>
  <c r="E45" i="22" l="1"/>
  <c r="F45" i="22" s="1"/>
  <c r="A45" i="22" s="1"/>
  <c r="F44" i="22"/>
  <c r="A44" i="22" s="1"/>
  <c r="E147" i="22"/>
  <c r="F147" i="22" l="1"/>
  <c r="A147" i="22" s="1"/>
  <c r="E148" i="22"/>
  <c r="E149" i="22" l="1"/>
  <c r="F148" i="22"/>
  <c r="A148" i="22" s="1"/>
  <c r="F149" i="22" l="1"/>
  <c r="A149" i="22" s="1"/>
  <c r="E150" i="22"/>
  <c r="F150" i="22" l="1"/>
  <c r="A150" i="22" s="1"/>
  <c r="E151" i="22"/>
  <c r="F151" i="22" l="1"/>
  <c r="A151" i="22" s="1"/>
  <c r="E152" i="22"/>
  <c r="E153" i="22" l="1"/>
  <c r="F152" i="22"/>
  <c r="A152" i="22" s="1"/>
  <c r="F153" i="22" l="1"/>
  <c r="A153" i="22" s="1"/>
  <c r="E154" i="22"/>
  <c r="F154" i="22" l="1"/>
  <c r="A154" i="22" s="1"/>
  <c r="E155" i="22"/>
  <c r="F155" i="22" l="1"/>
  <c r="A155" i="22" s="1"/>
  <c r="E156" i="22"/>
  <c r="E157" i="22" l="1"/>
  <c r="E158" i="22" s="1"/>
  <c r="F158" i="22" s="1"/>
  <c r="A158" i="22" s="1"/>
  <c r="F156" i="22"/>
  <c r="A156" i="22" s="1"/>
  <c r="F157" i="22" l="1"/>
  <c r="A157" i="22" s="1"/>
  <c r="E159" i="22"/>
  <c r="F159" i="22" l="1"/>
  <c r="A159" i="22" s="1"/>
  <c r="E160" i="22"/>
  <c r="F160" i="22" l="1"/>
  <c r="A160" i="22" s="1"/>
  <c r="E161" i="22"/>
  <c r="E162" i="22" l="1"/>
  <c r="F161" i="22"/>
  <c r="A161" i="22" s="1"/>
  <c r="F162" i="22" l="1"/>
  <c r="A162" i="22" s="1"/>
  <c r="E163" i="22"/>
  <c r="F163" i="22" l="1"/>
  <c r="A163" i="22" s="1"/>
  <c r="E164" i="22"/>
  <c r="F164" i="22" l="1"/>
  <c r="A164" i="22" s="1"/>
  <c r="E165" i="22"/>
  <c r="E166" i="22" l="1"/>
  <c r="F165" i="22"/>
  <c r="A165" i="22" s="1"/>
  <c r="F166" i="22" l="1"/>
  <c r="A166" i="22" s="1"/>
  <c r="E167" i="22"/>
  <c r="E168" i="22" s="1"/>
  <c r="F168" i="22" s="1"/>
  <c r="A168" i="22" s="1"/>
  <c r="F167" i="22" l="1"/>
  <c r="A167" i="22" s="1"/>
  <c r="E169" i="22"/>
  <c r="F169" i="22" l="1"/>
  <c r="A169" i="22" s="1"/>
  <c r="E170" i="22"/>
  <c r="E171" i="22" l="1"/>
  <c r="F170" i="22"/>
  <c r="A170" i="22" s="1"/>
  <c r="F171" i="22" l="1"/>
  <c r="A171" i="22" s="1"/>
  <c r="E172" i="22"/>
  <c r="F172" i="22" l="1"/>
  <c r="A172" i="22" s="1"/>
  <c r="E46" i="22"/>
  <c r="E47" i="22" s="1"/>
  <c r="F47" i="22" l="1"/>
  <c r="A47" i="22" s="1"/>
  <c r="F46" i="22"/>
  <c r="A46" i="22" s="1"/>
  <c r="E173" i="22"/>
  <c r="E48" i="22" l="1"/>
  <c r="E49" i="22" s="1"/>
  <c r="E50" i="22" s="1"/>
  <c r="E51" i="22" s="1"/>
  <c r="E174" i="22"/>
  <c r="F173" i="22"/>
  <c r="A173" i="22" s="1"/>
  <c r="F51" i="22" l="1"/>
  <c r="A51" i="22" s="1"/>
  <c r="E52" i="22"/>
  <c r="F52" i="22" s="1"/>
  <c r="A52" i="22" s="1"/>
  <c r="F50" i="22"/>
  <c r="A50" i="22" s="1"/>
  <c r="F49" i="22"/>
  <c r="A49" i="22" s="1"/>
  <c r="E27" i="22"/>
  <c r="F48" i="22"/>
  <c r="A48" i="22" s="1"/>
  <c r="F174" i="22"/>
  <c r="A174" i="22" s="1"/>
  <c r="E175" i="22"/>
  <c r="F27" i="22" l="1"/>
  <c r="A27" i="22" s="1"/>
  <c r="E28" i="22"/>
  <c r="E29" i="22" s="1"/>
  <c r="E31" i="22" s="1"/>
  <c r="F175" i="22"/>
  <c r="A175" i="22" s="1"/>
  <c r="E176" i="22"/>
  <c r="F29" i="22" l="1"/>
  <c r="A29" i="22" s="1"/>
  <c r="E30" i="22"/>
  <c r="F28" i="22"/>
  <c r="A28" i="22" s="1"/>
  <c r="F176" i="22"/>
  <c r="A176" i="22" s="1"/>
  <c r="E177" i="22"/>
  <c r="F30" i="22" l="1"/>
  <c r="A30" i="22" s="1"/>
  <c r="E32" i="22"/>
  <c r="E178" i="22"/>
  <c r="F177" i="22"/>
  <c r="A177" i="22" s="1"/>
  <c r="F178" i="22" l="1"/>
  <c r="A178" i="22" s="1"/>
  <c r="E179" i="22"/>
  <c r="F179" i="22" l="1"/>
  <c r="A179" i="22" s="1"/>
  <c r="E180" i="22"/>
  <c r="F180" i="22" l="1"/>
  <c r="A180" i="22" s="1"/>
  <c r="E181" i="22"/>
  <c r="E182" i="22" l="1"/>
  <c r="F181" i="22"/>
  <c r="A181" i="22" s="1"/>
  <c r="F182" i="22" l="1"/>
  <c r="A182" i="22" s="1"/>
  <c r="E183" i="22"/>
  <c r="F183" i="22" l="1"/>
  <c r="A183" i="22" s="1"/>
  <c r="E184" i="22"/>
  <c r="F184" i="22" l="1"/>
  <c r="A184" i="22" s="1"/>
  <c r="E185" i="22"/>
  <c r="E186" i="22" l="1"/>
  <c r="F185" i="22"/>
  <c r="A185" i="22" s="1"/>
  <c r="F186" i="22" l="1"/>
  <c r="A186" i="22" s="1"/>
  <c r="E187" i="22"/>
  <c r="F187" i="22" l="1"/>
  <c r="A187" i="22" s="1"/>
  <c r="E188" i="22"/>
  <c r="F188" i="22" l="1"/>
  <c r="A188" i="22" s="1"/>
  <c r="E189" i="22"/>
  <c r="E190" i="22" s="1"/>
  <c r="F190" i="22" s="1"/>
  <c r="A190" i="22" s="1"/>
  <c r="E191" i="22" l="1"/>
  <c r="F189" i="22"/>
  <c r="A189" i="22" s="1"/>
  <c r="F191" i="22" l="1"/>
  <c r="A191" i="22" s="1"/>
  <c r="E192" i="22"/>
  <c r="F192" i="22" l="1"/>
  <c r="A192" i="22" s="1"/>
  <c r="E193" i="22"/>
  <c r="F193" i="22" l="1"/>
  <c r="A193" i="22" s="1"/>
  <c r="E194" i="22"/>
  <c r="E195" i="22" l="1"/>
  <c r="F194" i="22"/>
  <c r="A194" i="22" s="1"/>
  <c r="F195" i="22" l="1"/>
  <c r="A195" i="22" s="1"/>
  <c r="E196" i="22"/>
  <c r="F196" i="22" l="1"/>
  <c r="A196" i="22" s="1"/>
  <c r="E197" i="22"/>
  <c r="F197" i="22" l="1"/>
  <c r="A197" i="22" s="1"/>
  <c r="E198" i="22"/>
  <c r="F198" i="22" l="1"/>
  <c r="A198" i="22" s="1"/>
  <c r="E199" i="22" l="1"/>
  <c r="F199" i="22" l="1"/>
  <c r="A199" i="22" s="1"/>
  <c r="E200" i="22"/>
  <c r="F200" i="22" l="1"/>
  <c r="A200" i="22" s="1"/>
  <c r="E201" i="22"/>
  <c r="E202" i="22" l="1"/>
  <c r="F201" i="22"/>
  <c r="A201" i="22" s="1"/>
  <c r="F202" i="22" l="1"/>
  <c r="A202" i="22" s="1"/>
  <c r="E203" i="22"/>
  <c r="F203" i="22" l="1"/>
  <c r="A203" i="22" s="1"/>
  <c r="E204" i="22"/>
  <c r="F204" i="22" l="1"/>
  <c r="A204" i="22" s="1"/>
  <c r="E205" i="22"/>
  <c r="E206" i="22" l="1"/>
  <c r="F205" i="22"/>
  <c r="A205" i="22" s="1"/>
  <c r="F206" i="22" l="1"/>
  <c r="A206" i="22" s="1"/>
  <c r="E207" i="22"/>
  <c r="F207" i="22" l="1"/>
  <c r="A207" i="22" s="1"/>
  <c r="E208" i="22"/>
  <c r="F208" i="22" l="1"/>
  <c r="A208" i="22" s="1"/>
  <c r="E209" i="22"/>
  <c r="E210" i="22" l="1"/>
  <c r="F209" i="22"/>
  <c r="A209" i="22" s="1"/>
  <c r="F210" i="22" l="1"/>
  <c r="A210" i="22" s="1"/>
  <c r="E211" i="22"/>
  <c r="F211" i="22" l="1"/>
  <c r="A211" i="22" s="1"/>
  <c r="E212" i="22"/>
  <c r="F212" i="22" l="1"/>
  <c r="A212" i="22" s="1"/>
  <c r="E213" i="22"/>
  <c r="F213" i="22" l="1"/>
  <c r="A213" i="22" s="1"/>
  <c r="E214" i="22" l="1"/>
  <c r="F214" i="22" l="1"/>
  <c r="A214" i="22" s="1"/>
  <c r="E215" i="22"/>
  <c r="F215" i="22" l="1"/>
  <c r="A215" i="22" s="1"/>
  <c r="E216" i="22"/>
  <c r="E217" i="22" l="1"/>
  <c r="F216" i="22"/>
  <c r="A216" i="22" s="1"/>
  <c r="F217" i="22" l="1"/>
  <c r="A217" i="22" s="1"/>
  <c r="E218" i="22"/>
  <c r="F218" i="22" l="1"/>
  <c r="A218" i="22" s="1"/>
  <c r="E219" i="22"/>
  <c r="F219" i="22" l="1"/>
  <c r="A219" i="22" s="1"/>
  <c r="E220" i="22"/>
  <c r="E221" i="22" l="1"/>
  <c r="F220" i="22"/>
  <c r="A220" i="22" s="1"/>
  <c r="F221" i="22" l="1"/>
  <c r="A221" i="22" s="1"/>
  <c r="E222" i="22"/>
  <c r="F222" i="22" l="1"/>
  <c r="A222" i="22" s="1"/>
  <c r="E223" i="22"/>
  <c r="F223" i="22" l="1"/>
  <c r="A223" i="22" s="1"/>
  <c r="E224" i="22"/>
  <c r="E225" i="22" s="1"/>
  <c r="F225" i="22" s="1"/>
  <c r="A225" i="22" s="1"/>
  <c r="E226" i="22" l="1"/>
  <c r="F224" i="22"/>
  <c r="A224" i="22" s="1"/>
  <c r="F226" i="22" l="1"/>
  <c r="A226" i="22" s="1"/>
  <c r="E227" i="22"/>
  <c r="F227" i="22" l="1"/>
  <c r="A227" i="22" s="1"/>
  <c r="E228" i="22"/>
  <c r="F228" i="22" l="1"/>
  <c r="A228" i="22" s="1"/>
  <c r="E229" i="22"/>
  <c r="E230" i="22" l="1"/>
  <c r="F229" i="22"/>
  <c r="A229" i="22" s="1"/>
  <c r="F230" i="22" l="1"/>
  <c r="A230" i="22" s="1"/>
  <c r="E231" i="22"/>
  <c r="F231" i="22" l="1"/>
  <c r="A231" i="22" s="1"/>
  <c r="E232" i="22"/>
  <c r="F232" i="22" l="1"/>
  <c r="A232" i="22" s="1"/>
  <c r="E233" i="22"/>
  <c r="E234" i="22" l="1"/>
  <c r="F233" i="22"/>
  <c r="A233" i="22" s="1"/>
  <c r="F234" i="22" l="1"/>
  <c r="A234" i="22" s="1"/>
  <c r="E235" i="22"/>
  <c r="F235" i="22" l="1"/>
  <c r="A235" i="22" s="1"/>
  <c r="E236" i="22"/>
  <c r="F236" i="22" l="1"/>
  <c r="A236" i="22" s="1"/>
  <c r="E237" i="22"/>
  <c r="E238" i="22" l="1"/>
  <c r="F237" i="22"/>
  <c r="A237" i="22" s="1"/>
  <c r="F238" i="22" l="1"/>
  <c r="A238" i="22" s="1"/>
  <c r="E239" i="22"/>
  <c r="F239" i="22" l="1"/>
  <c r="A239" i="22" s="1"/>
  <c r="E240" i="22"/>
  <c r="F240" i="22" l="1"/>
  <c r="A240" i="22" s="1"/>
  <c r="E241" i="22"/>
  <c r="E242" i="22" l="1"/>
  <c r="F241" i="22"/>
  <c r="A241" i="22" s="1"/>
  <c r="F242" i="22" l="1"/>
  <c r="A242" i="22" s="1"/>
  <c r="E243" i="22"/>
  <c r="F243" i="22" l="1"/>
  <c r="A243" i="22" s="1"/>
  <c r="E244" i="22"/>
  <c r="F244" i="22" l="1"/>
  <c r="A244" i="22" s="1"/>
  <c r="E245" i="22"/>
  <c r="E246" i="22" l="1"/>
  <c r="F245" i="22"/>
  <c r="A245" i="22" s="1"/>
  <c r="F246" i="22" l="1"/>
  <c r="A246" i="22" s="1"/>
  <c r="E247" i="22"/>
  <c r="F247" i="22" l="1"/>
  <c r="A247" i="22" s="1"/>
  <c r="E248" i="22"/>
  <c r="F248" i="22" l="1"/>
  <c r="A248" i="22" s="1"/>
  <c r="E249" i="22"/>
  <c r="E250" i="22" l="1"/>
  <c r="F249" i="22"/>
  <c r="A249" i="22" s="1"/>
  <c r="F250" i="22" l="1"/>
  <c r="A250" i="22" s="1"/>
  <c r="E251" i="22"/>
  <c r="E261" i="22"/>
  <c r="F261" i="22" s="1"/>
  <c r="A261" i="22" s="1"/>
  <c r="E262" i="22" l="1"/>
  <c r="F251" i="22"/>
  <c r="A251" i="22" s="1"/>
  <c r="E252" i="22"/>
  <c r="F252" i="22" l="1"/>
  <c r="A252" i="22" s="1"/>
  <c r="E253" i="22"/>
  <c r="F262" i="22"/>
  <c r="A262" i="22" s="1"/>
  <c r="E263" i="22"/>
  <c r="E254" i="22" l="1"/>
  <c r="F253" i="22"/>
  <c r="A253" i="22" s="1"/>
  <c r="F263" i="22"/>
  <c r="A263" i="22" s="1"/>
  <c r="E264" i="22"/>
  <c r="F264" i="22" l="1"/>
  <c r="A264" i="22" s="1"/>
  <c r="E265" i="22"/>
  <c r="F254" i="22"/>
  <c r="A254" i="22" s="1"/>
  <c r="E255" i="22"/>
  <c r="F255" i="22" l="1"/>
  <c r="A255" i="22" s="1"/>
  <c r="E256" i="22"/>
  <c r="E266" i="22"/>
  <c r="F265" i="22"/>
  <c r="A265" i="22" s="1"/>
  <c r="F256" i="22" l="1"/>
  <c r="A256" i="22" s="1"/>
  <c r="E257" i="22"/>
  <c r="F266" i="22"/>
  <c r="A266" i="22" s="1"/>
  <c r="E267" i="22"/>
  <c r="F267" i="22" l="1"/>
  <c r="A267" i="22" s="1"/>
  <c r="E268" i="22"/>
  <c r="E258" i="22"/>
  <c r="F257" i="22"/>
  <c r="A257" i="22" s="1"/>
  <c r="F268" i="22" l="1"/>
  <c r="A268" i="22" s="1"/>
  <c r="E269" i="22"/>
  <c r="F258" i="22"/>
  <c r="A258" i="22" s="1"/>
  <c r="E259" i="22"/>
  <c r="E270" i="22" l="1"/>
  <c r="F269" i="22"/>
  <c r="A269" i="22" s="1"/>
  <c r="F259" i="22"/>
  <c r="A259" i="22" s="1"/>
  <c r="E260" i="22"/>
  <c r="F260" i="22" s="1"/>
  <c r="A260" i="22" s="1"/>
  <c r="F270" i="22" l="1"/>
  <c r="A270" i="22" s="1"/>
  <c r="E271" i="22"/>
  <c r="F271" i="22" l="1"/>
  <c r="A271" i="22" s="1"/>
  <c r="E272" i="22"/>
  <c r="F272" i="22" l="1"/>
  <c r="A272" i="22" s="1"/>
  <c r="E273" i="22"/>
  <c r="E274" i="22" l="1"/>
  <c r="F273" i="22"/>
  <c r="A273" i="22" s="1"/>
  <c r="F274" i="22" l="1"/>
  <c r="A274" i="22" s="1"/>
  <c r="E5" i="22" l="1"/>
  <c r="E6" i="22" l="1"/>
  <c r="E7" i="22" s="1"/>
  <c r="F5" i="22"/>
  <c r="A5" i="22" s="1"/>
  <c r="E53" i="22"/>
  <c r="B9" i="29" l="1"/>
  <c r="E54" i="22"/>
  <c r="F7" i="22"/>
  <c r="A7" i="22" s="1"/>
  <c r="E8" i="22"/>
  <c r="E9" i="22" s="1"/>
  <c r="E16" i="22"/>
  <c r="F6" i="22"/>
  <c r="A6" i="22" s="1"/>
  <c r="E35" i="22"/>
  <c r="E36" i="22" s="1"/>
  <c r="F53" i="22"/>
  <c r="A53" i="22" s="1"/>
  <c r="B10" i="29" l="1"/>
  <c r="F9" i="22"/>
  <c r="A9" i="22" s="1"/>
  <c r="B13" i="29" s="1"/>
  <c r="E10" i="22"/>
  <c r="F8" i="22"/>
  <c r="A8" i="22" s="1"/>
  <c r="B12" i="29" s="1"/>
  <c r="F36" i="22"/>
  <c r="A36" i="22" s="1"/>
  <c r="E37" i="22"/>
  <c r="E38" i="22" s="1"/>
  <c r="F54" i="22"/>
  <c r="A54" i="22" s="1"/>
  <c r="E55" i="22"/>
  <c r="F16" i="22"/>
  <c r="A16" i="22" s="1"/>
  <c r="E17" i="22"/>
  <c r="F35" i="22"/>
  <c r="A35" i="22" s="1"/>
  <c r="E275" i="22"/>
  <c r="F10" i="22" l="1"/>
  <c r="A10" i="22" s="1"/>
  <c r="C7" i="29" s="1"/>
  <c r="E11" i="22"/>
  <c r="F11" i="22" s="1"/>
  <c r="A11" i="22" s="1"/>
  <c r="C9" i="29" s="1"/>
  <c r="F38" i="22"/>
  <c r="A38" i="22" s="1"/>
  <c r="E39" i="22"/>
  <c r="F17" i="22"/>
  <c r="A17" i="22" s="1"/>
  <c r="E18" i="22"/>
  <c r="E19" i="22" s="1"/>
  <c r="F37" i="22"/>
  <c r="A37" i="22" s="1"/>
  <c r="F55" i="22"/>
  <c r="A55" i="22" s="1"/>
  <c r="E56" i="22"/>
  <c r="A4" i="77"/>
  <c r="C1" i="77"/>
  <c r="A7" i="77" s="1"/>
  <c r="F275" i="22"/>
  <c r="A275" i="22" s="1"/>
  <c r="E276" i="22"/>
  <c r="G3" i="22"/>
  <c r="B1" i="79" l="1"/>
  <c r="A4" i="79" s="1"/>
  <c r="C8" i="29"/>
  <c r="C6" i="29"/>
  <c r="C10" i="29"/>
  <c r="C1" i="79"/>
  <c r="A7" i="79" s="1"/>
  <c r="F39" i="22"/>
  <c r="A39" i="22" s="1"/>
  <c r="E40" i="22"/>
  <c r="F19" i="22"/>
  <c r="A19" i="22" s="1"/>
  <c r="E20" i="22"/>
  <c r="F18" i="22"/>
  <c r="A18" i="22" s="1"/>
  <c r="F56" i="22"/>
  <c r="A56" i="22" s="1"/>
  <c r="E57" i="22"/>
  <c r="F276" i="22"/>
  <c r="A276" i="22" s="1"/>
  <c r="E277" i="22"/>
  <c r="G12" i="22"/>
  <c r="F20" i="22" l="1"/>
  <c r="A20" i="22" s="1"/>
  <c r="E21" i="22"/>
  <c r="F21" i="22" s="1"/>
  <c r="A21" i="22" s="1"/>
  <c r="I1" i="69" s="1"/>
  <c r="A25" i="69" s="1"/>
  <c r="F40" i="22"/>
  <c r="A40" i="22" s="1"/>
  <c r="E41" i="22"/>
  <c r="C1" i="69"/>
  <c r="A7" i="69" s="1"/>
  <c r="F57" i="22"/>
  <c r="A57" i="22" s="1"/>
  <c r="E58" i="22"/>
  <c r="E278" i="22"/>
  <c r="F277" i="22"/>
  <c r="A277" i="22" s="1"/>
  <c r="C1" i="78" l="1"/>
  <c r="A7" i="78" s="1"/>
  <c r="B1" i="78"/>
  <c r="A4" i="78" s="1"/>
  <c r="B1" i="69"/>
  <c r="A4" i="69" s="1"/>
  <c r="H1" i="69"/>
  <c r="A22" i="69" s="1"/>
  <c r="E6" i="29"/>
  <c r="L1" i="78"/>
  <c r="A34" i="78" s="1"/>
  <c r="D6" i="29"/>
  <c r="D10" i="29"/>
  <c r="F41" i="22"/>
  <c r="A41" i="22" s="1"/>
  <c r="E42" i="22"/>
  <c r="E59" i="22"/>
  <c r="F58" i="22"/>
  <c r="A58" i="22" s="1"/>
  <c r="F278" i="22"/>
  <c r="A278" i="22" s="1"/>
  <c r="E279" i="22"/>
  <c r="F42" i="22" l="1"/>
  <c r="A42" i="22" s="1"/>
  <c r="E43" i="22"/>
  <c r="F43" i="22" s="1"/>
  <c r="A43" i="22" s="1"/>
  <c r="C1" i="70"/>
  <c r="A7" i="70" s="1"/>
  <c r="F59" i="22"/>
  <c r="A59" i="22" s="1"/>
  <c r="E60" i="22"/>
  <c r="F60" i="22" s="1"/>
  <c r="A60" i="22" s="1"/>
  <c r="F279" i="22"/>
  <c r="A279" i="22" s="1"/>
  <c r="E280" i="22"/>
  <c r="G6" i="29" l="1"/>
  <c r="G7" i="29"/>
  <c r="G9" i="29"/>
  <c r="G8" i="29"/>
  <c r="G11" i="29"/>
  <c r="H13" i="29"/>
  <c r="G13" i="29"/>
  <c r="H12" i="29"/>
  <c r="H11" i="29"/>
  <c r="H10" i="29"/>
  <c r="H9" i="29"/>
  <c r="H8" i="29"/>
  <c r="H7" i="29"/>
  <c r="H6" i="29"/>
  <c r="C1" i="74"/>
  <c r="A7" i="74" s="1"/>
  <c r="B1" i="70"/>
  <c r="A4" i="70" s="1"/>
  <c r="D1" i="70"/>
  <c r="A10" i="70" s="1"/>
  <c r="B1" i="74"/>
  <c r="A4" i="74" s="1"/>
  <c r="F280" i="22"/>
  <c r="A280" i="22" s="1"/>
  <c r="E281" i="22"/>
  <c r="G44" i="22"/>
  <c r="G45" i="22"/>
  <c r="G53" i="22"/>
  <c r="G46" i="22"/>
  <c r="G54" i="22"/>
  <c r="E282" i="22" l="1"/>
  <c r="F281" i="22"/>
  <c r="A281" i="22" s="1"/>
  <c r="F282" i="22" l="1"/>
  <c r="A282" i="22" s="1"/>
  <c r="E283" i="22"/>
  <c r="F283" i="22" l="1"/>
  <c r="A283" i="22" s="1"/>
  <c r="E284" i="22"/>
  <c r="F284" i="22" l="1"/>
  <c r="A284" i="22" s="1"/>
  <c r="E285" i="22"/>
  <c r="E286" i="22" l="1"/>
  <c r="F285" i="22"/>
  <c r="A285" i="22" s="1"/>
  <c r="F286" i="22" l="1"/>
  <c r="A286" i="22" s="1"/>
  <c r="E287" i="22"/>
  <c r="F287" i="22" s="1"/>
  <c r="A287" i="22" s="1"/>
  <c r="G12" i="29" l="1"/>
  <c r="G10" i="29"/>
  <c r="H14" i="29"/>
  <c r="G14" i="29"/>
  <c r="F14" i="29"/>
  <c r="C15" i="29"/>
  <c r="K1" i="78"/>
  <c r="A31" i="78" s="1"/>
  <c r="K1" i="79"/>
  <c r="A31" i="79" s="1"/>
  <c r="B15" i="29"/>
  <c r="K1" i="69"/>
  <c r="A31" i="69" s="1"/>
  <c r="B14" i="29"/>
  <c r="E9" i="29"/>
  <c r="E11" i="29"/>
  <c r="C11" i="29"/>
  <c r="F8" i="29"/>
  <c r="D8" i="29"/>
  <c r="D9" i="29"/>
  <c r="F10" i="29"/>
  <c r="D7" i="29"/>
  <c r="F13" i="29"/>
  <c r="D12" i="29"/>
  <c r="F9" i="29"/>
  <c r="C13" i="29"/>
  <c r="F11" i="29"/>
  <c r="D11" i="29"/>
  <c r="C14" i="29"/>
  <c r="C12" i="29"/>
  <c r="F6" i="29"/>
  <c r="F7" i="29"/>
  <c r="E10" i="29"/>
  <c r="E8" i="29"/>
  <c r="E7" i="29"/>
  <c r="E12" i="29"/>
  <c r="F12" i="29"/>
  <c r="C19" i="29"/>
  <c r="C20" i="29"/>
  <c r="B20" i="29"/>
  <c r="B19" i="29"/>
  <c r="B21" i="29"/>
  <c r="D1" i="74"/>
  <c r="A10" i="74" s="1"/>
  <c r="C21" i="29"/>
  <c r="E1" i="74"/>
  <c r="A13" i="74" s="1"/>
  <c r="C22" i="29"/>
  <c r="F1" i="74"/>
  <c r="A16" i="74" s="1"/>
  <c r="C23" i="29"/>
  <c r="C25" i="29"/>
  <c r="G1" i="74"/>
  <c r="A19" i="74" s="1"/>
  <c r="C24" i="29"/>
  <c r="H1" i="74"/>
  <c r="A22" i="74" s="1"/>
  <c r="E1" i="70"/>
  <c r="A13" i="70" s="1"/>
  <c r="B22" i="29"/>
  <c r="B23" i="29"/>
  <c r="F1" i="70"/>
  <c r="A16" i="70" s="1"/>
  <c r="G1" i="70"/>
  <c r="A19" i="70" s="1"/>
  <c r="B24" i="29"/>
  <c r="H1" i="70"/>
  <c r="A22" i="70" s="1"/>
  <c r="B25" i="29"/>
  <c r="D1" i="69"/>
  <c r="A10" i="69" s="1"/>
  <c r="E1" i="69"/>
  <c r="A13" i="69" s="1"/>
  <c r="F1" i="69"/>
  <c r="A16" i="69" s="1"/>
  <c r="G1" i="69"/>
  <c r="A19" i="69" s="1"/>
  <c r="J1" i="69"/>
  <c r="A28" i="69" s="1"/>
  <c r="D1" i="78"/>
  <c r="A10" i="78" s="1"/>
  <c r="E1" i="78"/>
  <c r="A13" i="78" s="1"/>
  <c r="F1" i="78"/>
  <c r="A16" i="78" s="1"/>
  <c r="G1" i="78"/>
  <c r="A19" i="78" s="1"/>
  <c r="H1" i="78"/>
  <c r="A22" i="78" s="1"/>
  <c r="E1" i="79"/>
  <c r="A13" i="79" s="1"/>
  <c r="F1" i="79"/>
  <c r="A16" i="79" s="1"/>
  <c r="D1" i="79"/>
  <c r="A10" i="79" s="1"/>
  <c r="H1" i="79"/>
  <c r="A22" i="79" s="1"/>
  <c r="G1" i="79"/>
  <c r="A19" i="79" s="1"/>
  <c r="D1" i="77"/>
  <c r="A10" i="77" s="1"/>
  <c r="E1" i="77"/>
  <c r="A13" i="77" s="1"/>
  <c r="F1" i="77"/>
  <c r="A16" i="77" s="1"/>
  <c r="G1" i="77"/>
  <c r="A19" i="77" s="1"/>
  <c r="B26" i="29"/>
  <c r="C26" i="29"/>
  <c r="E1" i="34"/>
  <c r="A13" i="34" s="1"/>
  <c r="I1" i="66"/>
  <c r="A25" i="66" s="1"/>
  <c r="K1" i="77"/>
  <c r="A31" i="77" s="1"/>
  <c r="C1" i="34"/>
  <c r="A7" i="34" s="1"/>
  <c r="K1" i="67"/>
  <c r="A31" i="67" s="1"/>
  <c r="E1" i="66"/>
  <c r="A13" i="66" s="1"/>
  <c r="J1" i="66"/>
  <c r="A28" i="66" s="1"/>
  <c r="I1" i="65"/>
  <c r="A25" i="65" s="1"/>
  <c r="J1" i="65"/>
  <c r="A28" i="65" s="1"/>
  <c r="F1" i="34"/>
  <c r="A16" i="34" s="1"/>
  <c r="F1" i="75"/>
  <c r="A16" i="75" s="1"/>
  <c r="E1" i="65"/>
  <c r="A13" i="65" s="1"/>
  <c r="H1" i="34"/>
  <c r="A22" i="34" s="1"/>
  <c r="D1" i="75"/>
  <c r="A10" i="75" s="1"/>
  <c r="C1" i="65"/>
  <c r="A7" i="65" s="1"/>
  <c r="D1" i="66"/>
  <c r="A10" i="66" s="1"/>
  <c r="F1" i="65"/>
  <c r="A16" i="65" s="1"/>
  <c r="I1" i="70"/>
  <c r="A25" i="70" s="1"/>
  <c r="D1" i="34"/>
  <c r="A10" i="34" s="1"/>
  <c r="B1" i="67"/>
  <c r="A4" i="67" s="1"/>
  <c r="B1" i="65"/>
  <c r="A4" i="65" s="1"/>
  <c r="J1" i="79"/>
  <c r="A28" i="79" s="1"/>
  <c r="H1" i="66"/>
  <c r="A22" i="66" s="1"/>
  <c r="H1" i="77"/>
  <c r="A22" i="77" s="1"/>
  <c r="G1" i="66"/>
  <c r="A19" i="66" s="1"/>
  <c r="J1" i="34"/>
  <c r="A28" i="34" s="1"/>
  <c r="C1" i="66"/>
  <c r="A7" i="66" s="1"/>
  <c r="I1" i="79"/>
  <c r="A25" i="79" s="1"/>
  <c r="I1" i="77"/>
  <c r="A25" i="77" s="1"/>
  <c r="G1" i="75"/>
  <c r="A19" i="75" s="1"/>
  <c r="I1" i="34"/>
  <c r="A25" i="34" s="1"/>
  <c r="E1" i="67"/>
  <c r="A13" i="67" s="1"/>
  <c r="J1" i="67"/>
  <c r="A28" i="67" s="1"/>
  <c r="E1" i="75"/>
  <c r="A13" i="75" s="1"/>
  <c r="G1" i="34"/>
  <c r="A19" i="34" s="1"/>
  <c r="C1" i="75"/>
  <c r="A7" i="75" s="1"/>
  <c r="H1" i="65"/>
  <c r="A22" i="65" s="1"/>
  <c r="J1" i="70"/>
  <c r="A28" i="70" s="1"/>
  <c r="F1" i="66"/>
  <c r="A16" i="66" s="1"/>
  <c r="I1" i="75"/>
  <c r="A25" i="75" s="1"/>
  <c r="I1" i="67"/>
  <c r="A25" i="67" s="1"/>
  <c r="L1" i="69"/>
  <c r="A34" i="69" s="1"/>
  <c r="J1" i="78"/>
  <c r="J1" i="77"/>
  <c r="A28" i="77" s="1"/>
  <c r="H1" i="67"/>
  <c r="A22" i="67" s="1"/>
  <c r="B1" i="75"/>
  <c r="A4" i="75" s="1"/>
  <c r="J1" i="75"/>
  <c r="A28" i="75" s="1"/>
  <c r="B1" i="66"/>
  <c r="A4" i="66" s="1"/>
  <c r="G1" i="67"/>
  <c r="A19" i="67" s="1"/>
  <c r="C1" i="67"/>
  <c r="A7" i="67" s="1"/>
  <c r="I1" i="78"/>
  <c r="A25" i="78" s="1"/>
  <c r="H1" i="75"/>
  <c r="A22" i="75" s="1"/>
  <c r="I1" i="74"/>
  <c r="A25" i="74" s="1"/>
  <c r="B1" i="34"/>
  <c r="A4" i="34" s="1"/>
  <c r="F1" i="67"/>
  <c r="A16" i="67" s="1"/>
  <c r="G1" i="65"/>
  <c r="A19" i="65" s="1"/>
  <c r="D1" i="67"/>
  <c r="A10" i="67" s="1"/>
  <c r="J1" i="74"/>
  <c r="A28" i="74" s="1"/>
  <c r="D1" i="65"/>
  <c r="A10" i="65" s="1"/>
  <c r="G25" i="22"/>
  <c r="G55" i="22"/>
  <c r="G47" i="22"/>
  <c r="G59" i="22"/>
  <c r="G6" i="22"/>
  <c r="G15" i="22"/>
  <c r="G57" i="22"/>
  <c r="G20" i="22"/>
  <c r="G56" i="22"/>
  <c r="G60" i="22"/>
  <c r="G49" i="22"/>
  <c r="G7" i="22"/>
  <c r="G21" i="22"/>
  <c r="G26" i="22"/>
  <c r="G52" i="22"/>
  <c r="G9" i="22"/>
  <c r="G17" i="22"/>
  <c r="G24" i="22"/>
  <c r="G58" i="22"/>
  <c r="G19" i="22"/>
  <c r="G23" i="22"/>
  <c r="G51" i="22"/>
  <c r="G5" i="22"/>
  <c r="G18" i="22"/>
  <c r="G10" i="22"/>
  <c r="G8" i="22"/>
  <c r="G48" i="22"/>
  <c r="G22" i="22"/>
  <c r="G50" i="22"/>
  <c r="G13" i="22"/>
  <c r="G4" i="22"/>
  <c r="G29" i="22"/>
  <c r="G27" i="22"/>
  <c r="G14" i="22"/>
  <c r="G28" i="22"/>
  <c r="G11" i="22"/>
  <c r="G16" i="22"/>
  <c r="G2" i="22"/>
  <c r="A28" i="78" l="1"/>
  <c r="G31" i="22"/>
  <c r="G30" i="22"/>
  <c r="G3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P1" authorId="0" shapeId="0" xr:uid="{00000000-0006-0000-0400-000001000000}">
      <text>
        <r>
          <rPr>
            <i/>
            <sz val="9"/>
            <color indexed="81"/>
            <rFont val="Segoe UI"/>
            <family val="2"/>
            <charset val="238"/>
          </rPr>
          <t>A hatékonyság a ténylegesen lejátszott mérkőzések alapján megszerezhető pontokra vonatkozik.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Q1" authorId="0" shapeId="0" xr:uid="{D0670155-81A4-4371-A1E5-6FED189E7564}">
      <text>
        <r>
          <rPr>
            <i/>
            <sz val="9"/>
            <color indexed="81"/>
            <rFont val="Segoe UI"/>
            <family val="2"/>
            <charset val="238"/>
          </rPr>
          <t>A hatékonyság a ténylegesen lejátszott mérkőzések alapján megszerezhető pontokra vonatkozik.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Q1" authorId="0" shapeId="0" xr:uid="{00000000-0006-0000-0600-000001000000}">
      <text>
        <r>
          <rPr>
            <i/>
            <sz val="9"/>
            <color indexed="81"/>
            <rFont val="Segoe UI"/>
            <family val="2"/>
            <charset val="238"/>
          </rPr>
          <t>A hatékonyság a ténylegesen lejátszott mérkőzések alapján megszerezhető pontokra vonatkozik.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700-000001000000}">
      <text>
        <r>
          <rPr>
            <i/>
            <sz val="9"/>
            <color indexed="81"/>
            <rFont val="Segoe UI"/>
            <family val="2"/>
            <charset val="238"/>
          </rPr>
          <t>A hatékonyság a ténylegesen lejátszott mérkőzések alapján megszerezhető pontokra vonatkozik.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800-000001000000}">
      <text>
        <r>
          <rPr>
            <i/>
            <sz val="9"/>
            <color indexed="81"/>
            <rFont val="Segoe UI"/>
            <family val="2"/>
            <charset val="238"/>
          </rPr>
          <t>A hatékonyság a ténylegesen lejátszott mérkőzések alapján megszerezhető pontokra vonatkozik.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900-000001000000}">
      <text>
        <r>
          <rPr>
            <i/>
            <sz val="9"/>
            <color indexed="81"/>
            <rFont val="Segoe UI"/>
            <family val="2"/>
            <charset val="238"/>
          </rPr>
          <t>A hatékonyság a ténylegesen lejátszott mérkőzések alapján megszerezhető pontokra vonatkozik.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A00-000001000000}">
      <text>
        <r>
          <rPr>
            <i/>
            <sz val="9"/>
            <color indexed="81"/>
            <rFont val="Segoe UI"/>
            <family val="2"/>
            <charset val="238"/>
          </rPr>
          <t>A hatékonyság a ténylegesen lejátszott mérkőzések alapján megszerezhető pontokra vonatkozik.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B00-000001000000}">
      <text>
        <r>
          <rPr>
            <i/>
            <sz val="9"/>
            <color indexed="81"/>
            <rFont val="Segoe UI"/>
            <family val="2"/>
            <charset val="238"/>
          </rPr>
          <t>A hatékonyság a ténylegesen lejátszott mérkőzések alapján megszerezhető pontokra vonatkozik.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P1" authorId="0" shapeId="0" xr:uid="{00000000-0006-0000-0C00-000001000000}">
      <text>
        <r>
          <rPr>
            <i/>
            <sz val="9"/>
            <color indexed="81"/>
            <rFont val="Segoe UI"/>
            <family val="2"/>
            <charset val="238"/>
          </rPr>
          <t>A hatékonyság a ténylegesen lejátszott mérkőzések alapján megszerezhető pontokra vonatkozik.</t>
        </r>
      </text>
    </comment>
  </commentList>
</comments>
</file>

<file path=xl/sharedStrings.xml><?xml version="1.0" encoding="utf-8"?>
<sst xmlns="http://schemas.openxmlformats.org/spreadsheetml/2006/main" count="1713" uniqueCount="682">
  <si>
    <t>A LIGA</t>
  </si>
  <si>
    <t>B LIGA</t>
  </si>
  <si>
    <t>D LIGA</t>
  </si>
  <si>
    <t>C LIGA</t>
  </si>
  <si>
    <t>Fehér László</t>
  </si>
  <si>
    <t>T. Szabó Gábor</t>
  </si>
  <si>
    <t>helyezés</t>
  </si>
  <si>
    <t>Zsömle Attila</t>
  </si>
  <si>
    <t>Szajkovics Zsolt</t>
  </si>
  <si>
    <t>Szűcs Balázs Árpád</t>
  </si>
  <si>
    <t>Tasnádi Attila</t>
  </si>
  <si>
    <t>Perényi Márton</t>
  </si>
  <si>
    <t>Valtner Balázs</t>
  </si>
  <si>
    <t>Csalló Miklós</t>
  </si>
  <si>
    <t>Lencz László</t>
  </si>
  <si>
    <t>Fülöp Erika</t>
  </si>
  <si>
    <t>Hovanyecz András</t>
  </si>
  <si>
    <t>Lipcsei Árpád</t>
  </si>
  <si>
    <t>Dusa Zsolt</t>
  </si>
  <si>
    <t>Szondi Tibor</t>
  </si>
  <si>
    <t>Csoport</t>
  </si>
  <si>
    <t>A</t>
  </si>
  <si>
    <t>B</t>
  </si>
  <si>
    <t>Kóder Gábor</t>
  </si>
  <si>
    <t>Nemes Gergely</t>
  </si>
  <si>
    <t>C</t>
  </si>
  <si>
    <t>D</t>
  </si>
  <si>
    <t>Hegedűs Ferenc</t>
  </si>
  <si>
    <t>E</t>
  </si>
  <si>
    <t>Karlinger László</t>
  </si>
  <si>
    <t>F</t>
  </si>
  <si>
    <t>összpont-szám</t>
  </si>
  <si>
    <t>Tóth Dénes</t>
  </si>
  <si>
    <t>Sorsz.</t>
  </si>
  <si>
    <t>Greguss Csaba</t>
  </si>
  <si>
    <t>Dénes Ferenc</t>
  </si>
  <si>
    <t>JÁTÉKOSOK</t>
  </si>
  <si>
    <t>Somogyi Soma</t>
  </si>
  <si>
    <t>Kádas Péter</t>
  </si>
  <si>
    <t>Gyenei Gyöngyvér</t>
  </si>
  <si>
    <t>Svendor Emil</t>
  </si>
  <si>
    <t>Zovát Csaba</t>
  </si>
  <si>
    <t>Fazekas Eszter</t>
  </si>
  <si>
    <t>Theisz János</t>
  </si>
  <si>
    <t>Dréher Zsófia</t>
  </si>
  <si>
    <t>Név</t>
  </si>
  <si>
    <t>Bene Gábor</t>
  </si>
  <si>
    <t>Keszei Zsolt</t>
  </si>
  <si>
    <t>Varga István</t>
  </si>
  <si>
    <t>Wager György</t>
  </si>
  <si>
    <t>Berki Gergely</t>
  </si>
  <si>
    <t>Dr. Veres Csaba</t>
  </si>
  <si>
    <t>Pavlovsky Albert</t>
  </si>
  <si>
    <t>Sarkadi-Nagy Szilvia</t>
  </si>
  <si>
    <t>Soós Gábor</t>
  </si>
  <si>
    <t>Pósfai Gyula</t>
  </si>
  <si>
    <t>Tóth Balázs</t>
  </si>
  <si>
    <t>Gondos Csaba</t>
  </si>
  <si>
    <t>Nyert
szett</t>
  </si>
  <si>
    <t>Győze-lem</t>
  </si>
  <si>
    <t>Z</t>
  </si>
  <si>
    <t>Szilvássy Levente</t>
  </si>
  <si>
    <t>Wiandt András</t>
  </si>
  <si>
    <t>3/2</t>
  </si>
  <si>
    <t>2/3</t>
  </si>
  <si>
    <t>Vesztett szett</t>
  </si>
  <si>
    <t>Sallai Ákos</t>
  </si>
  <si>
    <t>Guth Katalin</t>
  </si>
  <si>
    <t>Róth Dániel</t>
  </si>
  <si>
    <t>Vilhelm Mörlin</t>
  </si>
  <si>
    <t>Kincses Bence</t>
  </si>
  <si>
    <t>Hüttl Tivadar</t>
  </si>
  <si>
    <t>Csillag Dávid</t>
  </si>
  <si>
    <t>Tamáska János</t>
  </si>
  <si>
    <t>Mézes Dávid</t>
  </si>
  <si>
    <t>Várhegyi Dávid</t>
  </si>
  <si>
    <t>Tulit Ádám</t>
  </si>
  <si>
    <t>Gödöny Dávid</t>
  </si>
  <si>
    <t>Usermaatre</t>
  </si>
  <si>
    <t>Sógorka Zsolt</t>
  </si>
  <si>
    <t>Nico Gill</t>
  </si>
  <si>
    <t>David Stuckey</t>
  </si>
  <si>
    <t>Marik Ildikó</t>
  </si>
  <si>
    <t>File Szabolcs</t>
  </si>
  <si>
    <t>Pintér Máté</t>
  </si>
  <si>
    <t>Varga Balázs</t>
  </si>
  <si>
    <t>Pap András</t>
  </si>
  <si>
    <t>Molnár Dániel</t>
  </si>
  <si>
    <t>Szabó Péter</t>
  </si>
  <si>
    <t>Csató Csilla</t>
  </si>
  <si>
    <t>Kovács Balázs</t>
  </si>
  <si>
    <t>Feitel Balázs</t>
  </si>
  <si>
    <t>Wittmann Dávid</t>
  </si>
  <si>
    <t>Várhelyi Péter</t>
  </si>
  <si>
    <t>Lajtai László</t>
  </si>
  <si>
    <t>Stricca Alexandro</t>
  </si>
  <si>
    <t>Dinos Georgilas</t>
  </si>
  <si>
    <t>Beamish Richard</t>
  </si>
  <si>
    <t>Dr. Horányi Dániel</t>
  </si>
  <si>
    <t>Szarka György</t>
  </si>
  <si>
    <t>Brucker Péter</t>
  </si>
  <si>
    <t>Tamás Csaba</t>
  </si>
  <si>
    <t>Dávid Viktor</t>
  </si>
  <si>
    <t>Nagy Milán</t>
  </si>
  <si>
    <t>Gergely Máté</t>
  </si>
  <si>
    <t>Boros Szilárd</t>
  </si>
  <si>
    <t>Solymos Zsigmond</t>
  </si>
  <si>
    <t>Zain Shah</t>
  </si>
  <si>
    <t>Őrhidi Mátyás</t>
  </si>
  <si>
    <t>Drozsnyik Dávid</t>
  </si>
  <si>
    <t>Puskás András</t>
  </si>
  <si>
    <t>Mike van Stein</t>
  </si>
  <si>
    <t>Gulcsik Péter</t>
  </si>
  <si>
    <t>Grünfelder Tamás</t>
  </si>
  <si>
    <t>Fülöp Zsolt</t>
  </si>
  <si>
    <t>Delport Willem</t>
  </si>
  <si>
    <t>Dalos Attila</t>
  </si>
  <si>
    <t>Paul McArthur</t>
  </si>
  <si>
    <t>Pásztor Roland</t>
  </si>
  <si>
    <t>Erdei Gábor</t>
  </si>
  <si>
    <t>Somos Eszter</t>
  </si>
  <si>
    <t>5/0</t>
  </si>
  <si>
    <t>0/5</t>
  </si>
  <si>
    <t>5/-</t>
  </si>
  <si>
    <t>-/5</t>
  </si>
  <si>
    <t>4/1</t>
  </si>
  <si>
    <t>1/4</t>
  </si>
  <si>
    <t>Csop.</t>
  </si>
  <si>
    <t>Horkay Máté</t>
  </si>
  <si>
    <t>Szőts Viktor</t>
  </si>
  <si>
    <t>Cserbakői Endre</t>
  </si>
  <si>
    <t>Hende Katalin</t>
  </si>
  <si>
    <t>Makkai Bonifác </t>
  </si>
  <si>
    <t>Francois Noble</t>
  </si>
  <si>
    <t>Ványi Ákos</t>
  </si>
  <si>
    <t>Herédi Zsolt</t>
  </si>
  <si>
    <t>S.sz.</t>
  </si>
  <si>
    <t>Cs.</t>
  </si>
  <si>
    <t>Hely</t>
  </si>
  <si>
    <t>E42</t>
  </si>
  <si>
    <t>A43</t>
  </si>
  <si>
    <t>F43</t>
  </si>
  <si>
    <t>Biot Guillermo</t>
  </si>
  <si>
    <t>E43</t>
  </si>
  <si>
    <t>Hartmann Csaba</t>
  </si>
  <si>
    <t>Dörnyei István</t>
  </si>
  <si>
    <t>Vajda Bertalan</t>
  </si>
  <si>
    <t>C44</t>
  </si>
  <si>
    <t>E44</t>
  </si>
  <si>
    <t>F44</t>
  </si>
  <si>
    <t>D45</t>
  </si>
  <si>
    <t>Kocsis Tamás</t>
  </si>
  <si>
    <t>Mihálylovics Andrej</t>
  </si>
  <si>
    <t>Fáth Ádám</t>
  </si>
  <si>
    <t>Bojtár Tamás</t>
  </si>
  <si>
    <t>F46</t>
  </si>
  <si>
    <t>Szöllösi Imre</t>
  </si>
  <si>
    <t>Potoczky András</t>
  </si>
  <si>
    <t>Kean Graham</t>
  </si>
  <si>
    <t>B47</t>
  </si>
  <si>
    <t>Hambalkó Márk</t>
  </si>
  <si>
    <t>F47</t>
  </si>
  <si>
    <t>E47</t>
  </si>
  <si>
    <t>Farkas Zoltán</t>
  </si>
  <si>
    <t>F48</t>
  </si>
  <si>
    <t>Fülöp Bence</t>
  </si>
  <si>
    <t>Dr. Sárhegyi István</t>
  </si>
  <si>
    <r>
      <t xml:space="preserve">helyezés
</t>
    </r>
    <r>
      <rPr>
        <i/>
        <sz val="8"/>
        <color indexed="8"/>
        <rFont val="Calibri"/>
        <family val="2"/>
        <charset val="238"/>
      </rPr>
      <t>(hatékonyság)</t>
    </r>
  </si>
  <si>
    <t>E48</t>
  </si>
  <si>
    <t>Neszveda Gábor</t>
  </si>
  <si>
    <t>G49</t>
  </si>
  <si>
    <t>Bene Csaba</t>
  </si>
  <si>
    <t>Zeke Katalin</t>
  </si>
  <si>
    <t>F50</t>
  </si>
  <si>
    <t>Mike Zoltán</t>
  </si>
  <si>
    <t>D50</t>
  </si>
  <si>
    <t>D52</t>
  </si>
  <si>
    <t>Baumstark Orsolya</t>
  </si>
  <si>
    <t>Bógyi Attila</t>
  </si>
  <si>
    <t>Sívó Zsolt</t>
  </si>
  <si>
    <t>Jakab Zoltán</t>
  </si>
  <si>
    <t>Németh Balázs</t>
  </si>
  <si>
    <t>F53</t>
  </si>
  <si>
    <t>Trevor Kalinovsky</t>
  </si>
  <si>
    <t>Zoon Jelle</t>
  </si>
  <si>
    <t>Sziegl Gábor</t>
  </si>
  <si>
    <t>Csomor Edina</t>
  </si>
  <si>
    <t>Török Zoltán</t>
  </si>
  <si>
    <t>Richter Pál</t>
  </si>
  <si>
    <t>D54</t>
  </si>
  <si>
    <t>G54</t>
  </si>
  <si>
    <t>Nagy Zsolt</t>
  </si>
  <si>
    <t>Háda Szabolcs</t>
  </si>
  <si>
    <t>Héjja Luca</t>
  </si>
  <si>
    <t>Major Máté</t>
  </si>
  <si>
    <t>Szabó István</t>
  </si>
  <si>
    <t>55_G</t>
  </si>
  <si>
    <t>55_E</t>
  </si>
  <si>
    <t>55_F</t>
  </si>
  <si>
    <t>Nagy Dániel</t>
  </si>
  <si>
    <t>Bodnár Sándor</t>
  </si>
  <si>
    <t>56_G</t>
  </si>
  <si>
    <t>56_F</t>
  </si>
  <si>
    <t>Kneifel Andrea</t>
  </si>
  <si>
    <t>Szili Péter</t>
  </si>
  <si>
    <t>Hannák Gábor</t>
  </si>
  <si>
    <t>Dávid Bence</t>
  </si>
  <si>
    <t>Harnos Imre</t>
  </si>
  <si>
    <t>57_A</t>
  </si>
  <si>
    <t>57_C</t>
  </si>
  <si>
    <t>57_E</t>
  </si>
  <si>
    <t>Kiszállt (induló új körben_itt lett volna)</t>
  </si>
  <si>
    <t>57_F</t>
  </si>
  <si>
    <t>Seres Andrea</t>
  </si>
  <si>
    <t>Hajnóczy Soma</t>
  </si>
  <si>
    <t>Osbáth Norbert</t>
  </si>
  <si>
    <t>58_C</t>
  </si>
  <si>
    <t>58_G</t>
  </si>
  <si>
    <t>Horváth Géza</t>
  </si>
  <si>
    <t>Velencei Bence</t>
  </si>
  <si>
    <t>Kőfaragó Nándor</t>
  </si>
  <si>
    <t>Énekes Gábor</t>
  </si>
  <si>
    <t>Csontos Anna Zsófia</t>
  </si>
  <si>
    <t>Dr. Molnár Patrícia</t>
  </si>
  <si>
    <t>59_G</t>
  </si>
  <si>
    <t>Medveczky Márton</t>
  </si>
  <si>
    <t>Kovács Dániel</t>
  </si>
  <si>
    <t>Petényi Z. Tibor</t>
  </si>
  <si>
    <t>60_D</t>
  </si>
  <si>
    <t>60_G</t>
  </si>
  <si>
    <t>George Nagy</t>
  </si>
  <si>
    <t>Sallai András</t>
  </si>
  <si>
    <t>Takács Alexandrosz</t>
  </si>
  <si>
    <t>Juhász Katalin</t>
  </si>
  <si>
    <t>Nagyághy Zita</t>
  </si>
  <si>
    <t>Vizi Katalin</t>
  </si>
  <si>
    <t>61_D</t>
  </si>
  <si>
    <t>61_G</t>
  </si>
  <si>
    <t>Komocsi Valéria</t>
  </si>
  <si>
    <t>Ferenczi Csaba</t>
  </si>
  <si>
    <t>Fodor István</t>
  </si>
  <si>
    <t>Herperger Tamás</t>
  </si>
  <si>
    <t>John Michael</t>
  </si>
  <si>
    <t>Csákvári Zsolt</t>
  </si>
  <si>
    <t>62_C</t>
  </si>
  <si>
    <t>62_D</t>
  </si>
  <si>
    <t>62_E</t>
  </si>
  <si>
    <t>62_F</t>
  </si>
  <si>
    <t>62_G</t>
  </si>
  <si>
    <t>62_H</t>
  </si>
  <si>
    <t>Jean Pierre Noble</t>
  </si>
  <si>
    <t>Makejev Miklós</t>
  </si>
  <si>
    <t>Mishra Abhishek</t>
  </si>
  <si>
    <t>Gülsen Péter</t>
  </si>
  <si>
    <t>Eugen Axinte Szakács</t>
  </si>
  <si>
    <t>63_B</t>
  </si>
  <si>
    <t>63_C</t>
  </si>
  <si>
    <t>63_E</t>
  </si>
  <si>
    <t>63_G</t>
  </si>
  <si>
    <t>Somogyi Tilda</t>
  </si>
  <si>
    <t>62_K_C</t>
  </si>
  <si>
    <t>62_K_B</t>
  </si>
  <si>
    <t>62_K_E</t>
  </si>
  <si>
    <t>62_K_F</t>
  </si>
  <si>
    <t>62_K_G</t>
  </si>
  <si>
    <t>Fabricius Ferke János</t>
  </si>
  <si>
    <t>64_K?_E</t>
  </si>
  <si>
    <t>64_K?_G</t>
  </si>
  <si>
    <t>64_K?_B</t>
  </si>
  <si>
    <t>Tristan Collette</t>
  </si>
  <si>
    <t>Lajtai László ifj.</t>
  </si>
  <si>
    <t>Dr. Czigleczki Gábor</t>
  </si>
  <si>
    <t>Benedek Géza</t>
  </si>
  <si>
    <t>Tomos Endre</t>
  </si>
  <si>
    <t>Tomos Mónika</t>
  </si>
  <si>
    <t>Kovács Pál</t>
  </si>
  <si>
    <t>65_B</t>
  </si>
  <si>
    <t>65_A</t>
  </si>
  <si>
    <t>65_C</t>
  </si>
  <si>
    <t>65_D</t>
  </si>
  <si>
    <t>65_E</t>
  </si>
  <si>
    <t>65_F</t>
  </si>
  <si>
    <t>Futsek Zoltán</t>
  </si>
  <si>
    <t>Mohamed Mousa</t>
  </si>
  <si>
    <t>Bodoky Lukács Márk</t>
  </si>
  <si>
    <t>Nagy Róbert</t>
  </si>
  <si>
    <t>Máté Kristóf</t>
  </si>
  <si>
    <t>Bíró Zsolt</t>
  </si>
  <si>
    <t>66_B</t>
  </si>
  <si>
    <t>66_C</t>
  </si>
  <si>
    <t>66_D</t>
  </si>
  <si>
    <t>Unger Anita</t>
  </si>
  <si>
    <t>Robyn Altmann</t>
  </si>
  <si>
    <t>67_C</t>
  </si>
  <si>
    <t>67_D</t>
  </si>
  <si>
    <t>67_F</t>
  </si>
  <si>
    <t>67_G</t>
  </si>
  <si>
    <t>68_C</t>
  </si>
  <si>
    <t>68_D</t>
  </si>
  <si>
    <t>68_E</t>
  </si>
  <si>
    <t>68_G</t>
  </si>
  <si>
    <t>68_B</t>
  </si>
  <si>
    <t>Moczó Norbert</t>
  </si>
  <si>
    <t>Farkas András László</t>
  </si>
  <si>
    <t>Irmalos Gábor</t>
  </si>
  <si>
    <t>69_E</t>
  </si>
  <si>
    <t>70_G</t>
  </si>
  <si>
    <t>70_B</t>
  </si>
  <si>
    <t>70_E</t>
  </si>
  <si>
    <t>70_D</t>
  </si>
  <si>
    <t>71_B</t>
  </si>
  <si>
    <t>71_C</t>
  </si>
  <si>
    <t>71_D</t>
  </si>
  <si>
    <t>71_E</t>
  </si>
  <si>
    <t>71_F</t>
  </si>
  <si>
    <t>Jelmer de Vries</t>
  </si>
  <si>
    <t>72_B</t>
  </si>
  <si>
    <t>72_E</t>
  </si>
  <si>
    <t>72_F</t>
  </si>
  <si>
    <t>72_C</t>
  </si>
  <si>
    <t>Tóth Zoltán</t>
  </si>
  <si>
    <t>Nagy Ferenc</t>
  </si>
  <si>
    <t>Sákovics Péter</t>
  </si>
  <si>
    <t>Weisz György</t>
  </si>
  <si>
    <t>Nagy Tamás</t>
  </si>
  <si>
    <t>Kiss Roland</t>
  </si>
  <si>
    <t>Markó Zoltán</t>
  </si>
  <si>
    <t>Ábrahám Kornél</t>
  </si>
  <si>
    <t>Pozsár András</t>
  </si>
  <si>
    <t>Varga Lorena</t>
  </si>
  <si>
    <t>Kmet Alex</t>
  </si>
  <si>
    <t>Kulcsár Sándor</t>
  </si>
  <si>
    <t>Telefonszám</t>
  </si>
  <si>
    <t>e-mail cím</t>
  </si>
  <si>
    <t>akmet@ukr.net</t>
  </si>
  <si>
    <t>+36 70 236 4307</t>
  </si>
  <si>
    <t>feri_nagy2005@yahoo.com</t>
  </si>
  <si>
    <t>+36 70 317 4424</t>
  </si>
  <si>
    <t>weiszcsalad01@gmail.com</t>
  </si>
  <si>
    <t>kovacsbusz1977@gmail.com</t>
  </si>
  <si>
    <t>+36 30 277 0512</t>
  </si>
  <si>
    <t>pitty.toth80@gmail.com</t>
  </si>
  <si>
    <t>+36 30 240 5390</t>
  </si>
  <si>
    <t>lorena.varga0526@gmail.com</t>
  </si>
  <si>
    <t>+36 30 472 0012</t>
  </si>
  <si>
    <t>+36 20 201 8718</t>
  </si>
  <si>
    <t>psakovics@gmail.com</t>
  </si>
  <si>
    <t>+36 30 979 1988</t>
  </si>
  <si>
    <t>westmachinekft@gmail.com</t>
  </si>
  <si>
    <t>mrk.zltn@gmail.com</t>
  </si>
  <si>
    <t>+36 30 695 4352</t>
  </si>
  <si>
    <t>zolltan75@gmail.com</t>
  </si>
  <si>
    <t>+36 30 012 0500</t>
  </si>
  <si>
    <t>pekrobi82@gmail.com</t>
  </si>
  <si>
    <t>+36 70 949 1715</t>
  </si>
  <si>
    <t>Bilics László</t>
  </si>
  <si>
    <t>lacibilics@gmail.com</t>
  </si>
  <si>
    <t>Polgár István</t>
  </si>
  <si>
    <t>polist77@yahoo.com</t>
  </si>
  <si>
    <t>+36 30 472 6975</t>
  </si>
  <si>
    <t>Bartus Péter</t>
  </si>
  <si>
    <t>+36 70 367 6100</t>
  </si>
  <si>
    <t>peteristvanhajdu@gmail.com</t>
  </si>
  <si>
    <t>+36 70 775 0899</t>
  </si>
  <si>
    <t>Bognár Barna</t>
  </si>
  <si>
    <t>+36 30 979 9263</t>
  </si>
  <si>
    <t>bogobot656@gmail.com</t>
  </si>
  <si>
    <t>Varga Tamás</t>
  </si>
  <si>
    <t>v.tamas@hotmail.com</t>
  </si>
  <si>
    <t>+36 30 471 7654</t>
  </si>
  <si>
    <t>Bíró Zoltán</t>
  </si>
  <si>
    <t>Székely Árpád</t>
  </si>
  <si>
    <t>Simon Ádám</t>
  </si>
  <si>
    <t>Tóth Bálint</t>
  </si>
  <si>
    <t>sztarpi22@gmail.com</t>
  </si>
  <si>
    <t>toth.balint5@gmail.com</t>
  </si>
  <si>
    <t>Nagy Zoltán</t>
  </si>
  <si>
    <t>Fekete Tamás</t>
  </si>
  <si>
    <t>fekettma@gmail.com</t>
  </si>
  <si>
    <t>Antal Péter</t>
  </si>
  <si>
    <t>aanti29@gmail.com</t>
  </si>
  <si>
    <t>Bikali Balázs</t>
  </si>
  <si>
    <t>bikali.balazs.ovb@gmail.com</t>
  </si>
  <si>
    <t>E LIGA</t>
  </si>
  <si>
    <t>Tóth István</t>
  </si>
  <si>
    <t>Marton Zoltán</t>
  </si>
  <si>
    <t>+36 30 58 80411</t>
  </si>
  <si>
    <t>+36 70 380 0481</t>
  </si>
  <si>
    <t>+36 70 616 9669</t>
  </si>
  <si>
    <t>+36 70 9353654</t>
  </si>
  <si>
    <t>Hajdu Péter</t>
  </si>
  <si>
    <t>Pilhoffer Béla</t>
  </si>
  <si>
    <t>+36 30 305 0972</t>
  </si>
  <si>
    <t>borzbal@arasz.hu</t>
  </si>
  <si>
    <t>Börzsönyi Balázs</t>
  </si>
  <si>
    <t>Tárnoki Péter</t>
  </si>
  <si>
    <t>+36 30 4395205</t>
  </si>
  <si>
    <t>Dobai László</t>
  </si>
  <si>
    <t>+36 20 295 4410</t>
  </si>
  <si>
    <t>dobai.l@gmail.com</t>
  </si>
  <si>
    <t>Kovács László</t>
  </si>
  <si>
    <t>+36 30 854 3680</t>
  </si>
  <si>
    <t>laszlo.kovacs@gmx.com</t>
  </si>
  <si>
    <t>+36 30 184 5432</t>
  </si>
  <si>
    <t>maximico@hotmail.com</t>
  </si>
  <si>
    <t>Selmeczy Gyula</t>
  </si>
  <si>
    <t>dr. Tóth Ádám</t>
  </si>
  <si>
    <t>Makszin Miklós</t>
  </si>
  <si>
    <t>Cseh Olivér</t>
  </si>
  <si>
    <t>Mészáros István</t>
  </si>
  <si>
    <t>Kovács Gábor</t>
  </si>
  <si>
    <t xml:space="preserve">Pék Róbert </t>
  </si>
  <si>
    <t>Helyezések</t>
  </si>
  <si>
    <t>Pék Róbert</t>
  </si>
  <si>
    <t>Csirke Balázs</t>
  </si>
  <si>
    <t>Sebesi Patrik</t>
  </si>
  <si>
    <t>Szőke Tibor</t>
  </si>
  <si>
    <t>7. Nyári liga</t>
  </si>
  <si>
    <t>Dombay Miki</t>
  </si>
  <si>
    <t>+36 30 635 5462</t>
  </si>
  <si>
    <t>dombaymiki@gmail.com</t>
  </si>
  <si>
    <t>Bankits Csaba</t>
  </si>
  <si>
    <t>C10</t>
  </si>
  <si>
    <t>C11</t>
  </si>
  <si>
    <t>+36 30 449 1079</t>
  </si>
  <si>
    <t>bankits.csaba@gmail.com</t>
  </si>
  <si>
    <t>koroknaiv@gmail.com</t>
  </si>
  <si>
    <t>Koroknai Viktor</t>
  </si>
  <si>
    <t>+36 70 392 3207</t>
  </si>
  <si>
    <t>Öntöde Squash liga történelem:</t>
  </si>
  <si>
    <t xml:space="preserve">A liga 1. </t>
  </si>
  <si>
    <t xml:space="preserve">A liga 2. </t>
  </si>
  <si>
    <t xml:space="preserve">A liga 3. </t>
  </si>
  <si>
    <t xml:space="preserve">B liga 1. </t>
  </si>
  <si>
    <t xml:space="preserve">B liga 2. </t>
  </si>
  <si>
    <t xml:space="preserve">C liga 1. </t>
  </si>
  <si>
    <t>C liga 2.</t>
  </si>
  <si>
    <t>D liga 1.</t>
  </si>
  <si>
    <t>D liga 2.</t>
  </si>
  <si>
    <t>E liga 1.</t>
  </si>
  <si>
    <t>E liga 2.</t>
  </si>
  <si>
    <t>Hajdú Péter</t>
  </si>
  <si>
    <t>Dombay Miklós</t>
  </si>
  <si>
    <t>zoltan.marton1973@gmail.com</t>
  </si>
  <si>
    <t>Orosz Tamás</t>
  </si>
  <si>
    <t>Bernáth Norbert</t>
  </si>
  <si>
    <t>G1</t>
  </si>
  <si>
    <t>G2</t>
  </si>
  <si>
    <t>G3</t>
  </si>
  <si>
    <t>G4</t>
  </si>
  <si>
    <t>G5</t>
  </si>
  <si>
    <t>G6</t>
  </si>
  <si>
    <t>G7</t>
  </si>
  <si>
    <t>G8</t>
  </si>
  <si>
    <t>F LIGA</t>
  </si>
  <si>
    <t>G LIGA</t>
  </si>
  <si>
    <t>+36 20 482 5195</t>
  </si>
  <si>
    <t>+36 30 788 8314</t>
  </si>
  <si>
    <t>Antal Peti</t>
  </si>
  <si>
    <t>Kulcsár Sanyi</t>
  </si>
  <si>
    <t>Dr. Tóth Ádám</t>
  </si>
  <si>
    <t>a1</t>
  </si>
  <si>
    <t>a2</t>
  </si>
  <si>
    <t>a3</t>
  </si>
  <si>
    <t>a4</t>
  </si>
  <si>
    <t>a5</t>
  </si>
  <si>
    <t>a6</t>
  </si>
  <si>
    <t>b1</t>
  </si>
  <si>
    <t>b2</t>
  </si>
  <si>
    <t>b3</t>
  </si>
  <si>
    <t>b4</t>
  </si>
  <si>
    <t>b5</t>
  </si>
  <si>
    <t>b6</t>
  </si>
  <si>
    <t>c1</t>
  </si>
  <si>
    <t>c2</t>
  </si>
  <si>
    <t>c3</t>
  </si>
  <si>
    <t>c4</t>
  </si>
  <si>
    <t>c5</t>
  </si>
  <si>
    <t>c6</t>
  </si>
  <si>
    <t>d1</t>
  </si>
  <si>
    <t>d2</t>
  </si>
  <si>
    <t>d3</t>
  </si>
  <si>
    <t>d4</t>
  </si>
  <si>
    <t>d5</t>
  </si>
  <si>
    <t>d6</t>
  </si>
  <si>
    <t>e1</t>
  </si>
  <si>
    <t>e2</t>
  </si>
  <si>
    <t>e3</t>
  </si>
  <si>
    <t>e4</t>
  </si>
  <si>
    <t>e5</t>
  </si>
  <si>
    <t>e6</t>
  </si>
  <si>
    <t>f1</t>
  </si>
  <si>
    <t>f2</t>
  </si>
  <si>
    <t>f3</t>
  </si>
  <si>
    <t>f4</t>
  </si>
  <si>
    <t>f5</t>
  </si>
  <si>
    <t>g1</t>
  </si>
  <si>
    <t>g2</t>
  </si>
  <si>
    <t>g3</t>
  </si>
  <si>
    <t>g4</t>
  </si>
  <si>
    <t>g5</t>
  </si>
  <si>
    <t>f6</t>
  </si>
  <si>
    <t>g6</t>
  </si>
  <si>
    <t>+36 30 692 5906</t>
  </si>
  <si>
    <t>bartuspeter22@gmail.com</t>
  </si>
  <si>
    <t>Kiss Roland visszalépett</t>
  </si>
  <si>
    <t>Nerpel Norbert</t>
  </si>
  <si>
    <t>Liga ranglista 9. liga</t>
  </si>
  <si>
    <t>Liga ranglista 10. liga</t>
  </si>
  <si>
    <t>?</t>
  </si>
  <si>
    <t>8 .liga (40 induló)</t>
  </si>
  <si>
    <t>6.liga (48 induló)</t>
  </si>
  <si>
    <t>5.liga (42 induló)</t>
  </si>
  <si>
    <t>4.liga (43 induló)</t>
  </si>
  <si>
    <t>3.liga (38 induló)</t>
  </si>
  <si>
    <t>2.liga (36 induló)</t>
  </si>
  <si>
    <t>1.liga (29 induló)</t>
  </si>
  <si>
    <t>F liga 1.</t>
  </si>
  <si>
    <t>F liga 2.</t>
  </si>
  <si>
    <t>G Liga 1.</t>
  </si>
  <si>
    <t>G Liga 2.</t>
  </si>
  <si>
    <t>9.liga(42 induló)</t>
  </si>
  <si>
    <t>1.</t>
  </si>
  <si>
    <t>2.</t>
  </si>
  <si>
    <t>3.</t>
  </si>
  <si>
    <t>4.</t>
  </si>
  <si>
    <t>5.</t>
  </si>
  <si>
    <t>6.</t>
  </si>
  <si>
    <t>7.</t>
  </si>
  <si>
    <t>8.</t>
  </si>
  <si>
    <t>9.</t>
  </si>
  <si>
    <t>10.</t>
  </si>
  <si>
    <t>11.</t>
  </si>
  <si>
    <t>12.</t>
  </si>
  <si>
    <t>13.</t>
  </si>
  <si>
    <t>14.</t>
  </si>
  <si>
    <t>15.</t>
  </si>
  <si>
    <t>16.</t>
  </si>
  <si>
    <t>17.</t>
  </si>
  <si>
    <t>18.</t>
  </si>
  <si>
    <t>19.</t>
  </si>
  <si>
    <t>20.</t>
  </si>
  <si>
    <t>Öntöde Squash Piramis ranglista és Squash partnerkereső:</t>
  </si>
  <si>
    <t>Bilics Laci</t>
  </si>
  <si>
    <t>Bankics Csaba</t>
  </si>
  <si>
    <t>21.</t>
  </si>
  <si>
    <t>22.</t>
  </si>
  <si>
    <t>23.</t>
  </si>
  <si>
    <t>24.</t>
  </si>
  <si>
    <t>Hatos Balázs</t>
  </si>
  <si>
    <t>Khmet Alex</t>
  </si>
  <si>
    <t>25.</t>
  </si>
  <si>
    <t>26.</t>
  </si>
  <si>
    <t>27.</t>
  </si>
  <si>
    <t>28.</t>
  </si>
  <si>
    <t>29.</t>
  </si>
  <si>
    <t>30.</t>
  </si>
  <si>
    <t>31.</t>
  </si>
  <si>
    <t>32.</t>
  </si>
  <si>
    <t>33.</t>
  </si>
  <si>
    <t>34.</t>
  </si>
  <si>
    <t>35.</t>
  </si>
  <si>
    <t>36.</t>
  </si>
  <si>
    <t>Béres Ottó</t>
  </si>
  <si>
    <t>Szombath István</t>
  </si>
  <si>
    <t>Marton -Hajdu</t>
  </si>
  <si>
    <t>Hadju Marton</t>
  </si>
  <si>
    <t>Mesits Sándor</t>
  </si>
  <si>
    <t>+36 30 969 4740</t>
  </si>
  <si>
    <t>hatosbalazs@gmail.com</t>
  </si>
  <si>
    <t>Nagy Simon</t>
  </si>
  <si>
    <t>10.liga(40 induló)</t>
  </si>
  <si>
    <t>Cseh Olivr</t>
  </si>
  <si>
    <t>Liga ranglista 11. liga</t>
  </si>
  <si>
    <t>Indulás:2025.05.07</t>
  </si>
  <si>
    <t>Molnár Milán</t>
  </si>
  <si>
    <t>11.liga(36 induló)</t>
  </si>
  <si>
    <t>Liga ranglista 12. liga</t>
  </si>
  <si>
    <t>Marton Zoli</t>
  </si>
  <si>
    <t>+36 20 950 1040</t>
  </si>
  <si>
    <t>milan.molnar1985@gmail.com</t>
  </si>
  <si>
    <t>Kovács Gábor(Golyó)</t>
  </si>
  <si>
    <t>Rigó Krisztián</t>
  </si>
  <si>
    <t>+36 70 332 1214</t>
  </si>
  <si>
    <t>czupor.attila@cellkabel.hu</t>
  </si>
  <si>
    <t>Czupor András</t>
  </si>
  <si>
    <t>Gáspár Júlia</t>
  </si>
  <si>
    <t>+36 20 487 4886</t>
  </si>
  <si>
    <t>julcsi.gaspar@gmail.com</t>
  </si>
  <si>
    <t>Gáspár Lúlia</t>
  </si>
  <si>
    <t>Liga ranglista 13. liga</t>
  </si>
  <si>
    <t>Koroknai Júlia</t>
  </si>
  <si>
    <t>12.liga(36 induló)</t>
  </si>
  <si>
    <t>Hajba Tibor</t>
  </si>
  <si>
    <t>hajbati81@gmail.com</t>
  </si>
  <si>
    <t xml:space="preserve">+36 70 772 5072 </t>
  </si>
  <si>
    <t>13.liga(30 induló)</t>
  </si>
  <si>
    <t>Czupos András</t>
  </si>
  <si>
    <t>a7</t>
  </si>
  <si>
    <t>a8</t>
  </si>
  <si>
    <t>B1</t>
  </si>
  <si>
    <t>B2</t>
  </si>
  <si>
    <t>B3</t>
  </si>
  <si>
    <t>B4</t>
  </si>
  <si>
    <t>B5</t>
  </si>
  <si>
    <t>B6</t>
  </si>
  <si>
    <t>B7</t>
  </si>
  <si>
    <t>B8</t>
  </si>
  <si>
    <t>C1</t>
  </si>
  <si>
    <t>C2</t>
  </si>
  <si>
    <t>C3</t>
  </si>
  <si>
    <t>C4</t>
  </si>
  <si>
    <t>C5</t>
  </si>
  <si>
    <t>C6</t>
  </si>
  <si>
    <t>C7</t>
  </si>
  <si>
    <t>C8</t>
  </si>
  <si>
    <t>D1</t>
  </si>
  <si>
    <t>D2</t>
  </si>
  <si>
    <t>D3</t>
  </si>
  <si>
    <t>D4</t>
  </si>
  <si>
    <t>D5</t>
  </si>
  <si>
    <t>D6</t>
  </si>
  <si>
    <t>D7</t>
  </si>
  <si>
    <t>D8</t>
  </si>
  <si>
    <t>Szerdahelyi Dani</t>
  </si>
  <si>
    <t>dancitube@gmail.com</t>
  </si>
  <si>
    <t>Kovács Zsolt</t>
  </si>
  <si>
    <t>ekro0108@icloud.com</t>
  </si>
  <si>
    <t>Hajba Zoé</t>
  </si>
  <si>
    <t>Vincze Krisztián</t>
  </si>
  <si>
    <t>Bakos Mátyás</t>
  </si>
  <si>
    <t>matyasbakos1@gmail.com</t>
  </si>
  <si>
    <t>vinczekrisztian93@gmail.com</t>
  </si>
  <si>
    <t>E1</t>
  </si>
  <si>
    <t>E2</t>
  </si>
  <si>
    <t>E3</t>
  </si>
  <si>
    <t>E4</t>
  </si>
  <si>
    <t>E5</t>
  </si>
  <si>
    <t>E6</t>
  </si>
  <si>
    <t>E7</t>
  </si>
  <si>
    <t>E8</t>
  </si>
  <si>
    <t>Lukács Dániel</t>
  </si>
  <si>
    <t>Zsoldos Tamás</t>
  </si>
  <si>
    <t>dzsotom254@gmail.com</t>
  </si>
  <si>
    <t>lukacsdaniel0608@gmail.com</t>
  </si>
  <si>
    <t>+36 30 519 4255</t>
  </si>
  <si>
    <t>+36 70 942 2396</t>
  </si>
  <si>
    <t>+36 20 517 5669</t>
  </si>
  <si>
    <t>+36 20 248 8499</t>
  </si>
  <si>
    <t>+36 70 522 3599</t>
  </si>
  <si>
    <t>+36 20 583 0279</t>
  </si>
  <si>
    <t>+36 30 838 3371</t>
  </si>
  <si>
    <t>aktuális állás: február15-én</t>
  </si>
  <si>
    <t>Szerdahelyi Dániel</t>
  </si>
  <si>
    <t>Póló méret</t>
  </si>
  <si>
    <t>M</t>
  </si>
  <si>
    <t>XXL</t>
  </si>
  <si>
    <t>XL</t>
  </si>
  <si>
    <t>L</t>
  </si>
  <si>
    <t>XS</t>
  </si>
  <si>
    <t>női M</t>
  </si>
  <si>
    <t>női S</t>
  </si>
  <si>
    <t>+36 30 348 7165</t>
  </si>
  <si>
    <t>biri03@gmail.com</t>
  </si>
  <si>
    <t>S</t>
  </si>
  <si>
    <t>Saját pólót ad amire szeretné a nyomtatást</t>
  </si>
  <si>
    <t>Liga indulás 14. ranglista</t>
  </si>
  <si>
    <t>Liga indulás 15. ranglista</t>
  </si>
  <si>
    <t xml:space="preserve">Varga Tamás </t>
  </si>
  <si>
    <t>Szekeres Martin</t>
  </si>
  <si>
    <t>+36 30 330 3584</t>
  </si>
  <si>
    <t>szek.martin@gmail.com</t>
  </si>
  <si>
    <t>+36 30 392 6520</t>
  </si>
  <si>
    <t>zoligyano@gmail.com</t>
  </si>
  <si>
    <t>+36 30 364 8978</t>
  </si>
  <si>
    <t>bazsa781005@gmail.com</t>
  </si>
  <si>
    <t>?Hatos Balázs???</t>
  </si>
  <si>
    <t>Bankits Csaba???</t>
  </si>
  <si>
    <t>Némeh Balázs</t>
  </si>
  <si>
    <t>Kovács István</t>
  </si>
  <si>
    <t>Arasz - Öntöde SQUASH LIGA 15. KÖR</t>
  </si>
  <si>
    <t>14.liga(40 induló)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</si>
</sst>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238"/>
      <scheme val="minor"/>
    </font>
    <font>
      <sz val="11"/>
      <color indexed="8"/>
      <name val="Calibri"/>
      <family val="2"/>
      <charset val="238"/>
    </font>
    <font>
      <b/>
      <sz val="11"/>
      <name val="Arial"/>
      <family val="2"/>
      <charset val="238"/>
    </font>
    <font>
      <sz val="10"/>
      <name val="Arial"/>
      <family val="2"/>
      <charset val="238"/>
    </font>
    <font>
      <sz val="11"/>
      <color indexed="9"/>
      <name val="Calibri"/>
      <family val="2"/>
      <charset val="238"/>
    </font>
    <font>
      <sz val="11"/>
      <name val="Calibri"/>
      <family val="2"/>
      <charset val="238"/>
    </font>
    <font>
      <sz val="10"/>
      <name val="Arial CE"/>
      <charset val="238"/>
    </font>
    <font>
      <b/>
      <sz val="11"/>
      <color indexed="8"/>
      <name val="Calibri"/>
      <family val="2"/>
      <charset val="238"/>
    </font>
    <font>
      <b/>
      <sz val="20"/>
      <color indexed="8"/>
      <name val="Calibri"/>
      <family val="2"/>
      <charset val="238"/>
    </font>
    <font>
      <i/>
      <sz val="8"/>
      <color indexed="8"/>
      <name val="Calibri"/>
      <family val="2"/>
      <charset val="238"/>
    </font>
    <font>
      <i/>
      <sz val="9"/>
      <color indexed="81"/>
      <name val="Segoe UI"/>
      <family val="2"/>
      <charset val="238"/>
    </font>
    <font>
      <sz val="11"/>
      <color theme="0"/>
      <name val="Calibri"/>
      <family val="2"/>
      <charset val="238"/>
      <scheme val="minor"/>
    </font>
    <font>
      <b/>
      <sz val="11"/>
      <color theme="1"/>
      <name val="Calibri"/>
      <family val="2"/>
      <charset val="238"/>
      <scheme val="minor"/>
    </font>
    <font>
      <b/>
      <sz val="11"/>
      <name val="Calibri"/>
      <family val="2"/>
      <charset val="238"/>
      <scheme val="minor"/>
    </font>
    <font>
      <sz val="11"/>
      <name val="Calibri"/>
      <family val="2"/>
      <charset val="238"/>
      <scheme val="minor"/>
    </font>
    <font>
      <b/>
      <sz val="12"/>
      <color theme="1"/>
      <name val="Calibri"/>
      <family val="2"/>
      <charset val="238"/>
      <scheme val="minor"/>
    </font>
    <font>
      <i/>
      <sz val="11"/>
      <color theme="1"/>
      <name val="Calibri"/>
      <family val="2"/>
      <scheme val="minor"/>
    </font>
    <font>
      <i/>
      <sz val="8"/>
      <color theme="1"/>
      <name val="Calibri"/>
      <family val="2"/>
      <charset val="238"/>
      <scheme val="minor"/>
    </font>
    <font>
      <sz val="8"/>
      <name val="Calibri"/>
      <family val="2"/>
      <charset val="238"/>
      <scheme val="minor"/>
    </font>
    <font>
      <u/>
      <sz val="11"/>
      <color theme="10"/>
      <name val="Calibri"/>
      <family val="2"/>
      <charset val="238"/>
      <scheme val="minor"/>
    </font>
    <font>
      <b/>
      <u/>
      <sz val="11"/>
      <color theme="1"/>
      <name val="Calibri"/>
      <family val="2"/>
      <charset val="238"/>
      <scheme val="minor"/>
    </font>
    <font>
      <b/>
      <u/>
      <sz val="14"/>
      <color theme="1"/>
      <name val="Calibri"/>
      <family val="2"/>
      <charset val="238"/>
      <scheme val="minor"/>
    </font>
    <font>
      <sz val="18"/>
      <color theme="1"/>
      <name val="Calibri"/>
      <family val="2"/>
      <charset val="238"/>
      <scheme val="minor"/>
    </font>
    <font>
      <sz val="10"/>
      <color theme="1"/>
      <name val="Calibri"/>
      <family val="2"/>
      <charset val="238"/>
      <scheme val="minor"/>
    </font>
  </fonts>
  <fills count="23">
    <fill>
      <patternFill patternType="none"/>
    </fill>
    <fill>
      <patternFill patternType="gray125"/>
    </fill>
    <fill>
      <patternFill patternType="solid">
        <fgColor indexed="8"/>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9"/>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style="double">
        <color indexed="64"/>
      </right>
      <top style="thin">
        <color indexed="64"/>
      </top>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s>
  <cellStyleXfs count="4">
    <xf numFmtId="0" fontId="0" fillId="0" borderId="0"/>
    <xf numFmtId="0" fontId="6" fillId="0" borderId="0"/>
    <xf numFmtId="9" fontId="1" fillId="0" borderId="0" applyFont="0" applyFill="0" applyBorder="0" applyAlignment="0" applyProtection="0"/>
    <xf numFmtId="0" fontId="19" fillId="0" borderId="0" applyNumberFormat="0" applyFill="0" applyBorder="0" applyAlignment="0" applyProtection="0"/>
  </cellStyleXfs>
  <cellXfs count="151">
    <xf numFmtId="0" fontId="0" fillId="0" borderId="0" xfId="0"/>
    <xf numFmtId="49" fontId="0" fillId="0" borderId="0" xfId="0" applyNumberFormat="1" applyAlignment="1">
      <alignment horizontal="center"/>
    </xf>
    <xf numFmtId="49" fontId="3" fillId="0" borderId="0" xfId="0" applyNumberFormat="1" applyFont="1" applyAlignment="1">
      <alignment horizontal="center"/>
    </xf>
    <xf numFmtId="0" fontId="4" fillId="0" borderId="0" xfId="0" applyFont="1"/>
    <xf numFmtId="0" fontId="0" fillId="0" borderId="0" xfId="0" applyAlignment="1">
      <alignment horizontal="center"/>
    </xf>
    <xf numFmtId="0" fontId="0" fillId="0" borderId="0" xfId="0" applyAlignment="1">
      <alignment horizontal="left"/>
    </xf>
    <xf numFmtId="49" fontId="5" fillId="0" borderId="0" xfId="0" applyNumberFormat="1" applyFont="1" applyAlignment="1">
      <alignment horizontal="left"/>
    </xf>
    <xf numFmtId="49" fontId="0" fillId="0" borderId="0" xfId="0" applyNumberFormat="1" applyAlignment="1">
      <alignment horizontal="left"/>
    </xf>
    <xf numFmtId="0" fontId="5" fillId="0" borderId="0" xfId="0" applyFont="1"/>
    <xf numFmtId="1" fontId="0" fillId="0" borderId="0" xfId="0" applyNumberFormat="1"/>
    <xf numFmtId="1" fontId="0" fillId="0" borderId="0" xfId="0" applyNumberFormat="1" applyAlignment="1">
      <alignment horizontal="center"/>
    </xf>
    <xf numFmtId="0" fontId="0" fillId="0" borderId="0" xfId="0" applyAlignment="1">
      <alignment vertical="center"/>
    </xf>
    <xf numFmtId="0" fontId="8" fillId="0" borderId="0" xfId="0" applyFont="1" applyAlignment="1">
      <alignment vertical="center"/>
    </xf>
    <xf numFmtId="0" fontId="0" fillId="0" borderId="0" xfId="0" applyAlignment="1">
      <alignment horizontal="left" vertical="center"/>
    </xf>
    <xf numFmtId="0" fontId="13" fillId="0" borderId="1" xfId="1" applyFont="1" applyBorder="1" applyAlignment="1" applyProtection="1">
      <alignment horizontal="center" vertical="center"/>
      <protection locked="0"/>
    </xf>
    <xf numFmtId="0" fontId="14" fillId="0" borderId="0" xfId="1" applyFont="1" applyAlignment="1" applyProtection="1">
      <alignment horizontal="center" vertical="center"/>
      <protection locked="0"/>
    </xf>
    <xf numFmtId="0" fontId="14" fillId="0" borderId="0" xfId="1" applyFont="1" applyAlignment="1" applyProtection="1">
      <alignment vertical="center"/>
      <protection locked="0"/>
    </xf>
    <xf numFmtId="0" fontId="14" fillId="3" borderId="1" xfId="1" applyFont="1" applyFill="1" applyBorder="1" applyAlignment="1" applyProtection="1">
      <alignment horizontal="center" vertical="center"/>
      <protection locked="0"/>
    </xf>
    <xf numFmtId="0" fontId="14" fillId="3" borderId="1" xfId="1" applyFont="1" applyFill="1" applyBorder="1" applyAlignment="1" applyProtection="1">
      <alignment vertical="center"/>
      <protection locked="0"/>
    </xf>
    <xf numFmtId="0" fontId="13" fillId="3" borderId="1" xfId="1" applyFont="1" applyFill="1" applyBorder="1" applyAlignment="1" applyProtection="1">
      <alignment horizontal="center" vertical="center"/>
      <protection locked="0"/>
    </xf>
    <xf numFmtId="0" fontId="13" fillId="0" borderId="0" xfId="1" applyFont="1" applyAlignment="1" applyProtection="1">
      <alignment vertical="center"/>
      <protection locked="0"/>
    </xf>
    <xf numFmtId="0" fontId="15" fillId="0" borderId="2" xfId="0" applyFont="1" applyBorder="1" applyAlignment="1">
      <alignment horizontal="center" vertical="center"/>
    </xf>
    <xf numFmtId="0" fontId="2" fillId="0" borderId="3" xfId="0" applyFont="1" applyBorder="1" applyAlignment="1">
      <alignment horizontal="center" vertical="center"/>
    </xf>
    <xf numFmtId="0" fontId="11" fillId="0" borderId="4" xfId="0" applyFont="1" applyBorder="1" applyAlignment="1">
      <alignment horizontal="center" vertical="center"/>
    </xf>
    <xf numFmtId="0" fontId="0" fillId="0" borderId="0" xfId="0" quotePrefix="1" applyAlignment="1">
      <alignment horizontal="left"/>
    </xf>
    <xf numFmtId="0" fontId="0" fillId="0" borderId="0" xfId="0" quotePrefix="1" applyAlignment="1">
      <alignment horizontal="center" vertical="center"/>
    </xf>
    <xf numFmtId="0" fontId="14" fillId="3" borderId="1" xfId="1" applyFont="1" applyFill="1" applyBorder="1" applyAlignment="1" applyProtection="1">
      <alignment vertical="center" wrapText="1"/>
      <protection locked="0"/>
    </xf>
    <xf numFmtId="0" fontId="13" fillId="0" borderId="0" xfId="0" applyFont="1"/>
    <xf numFmtId="0" fontId="14" fillId="3" borderId="1" xfId="1" applyFont="1" applyFill="1" applyBorder="1" applyAlignment="1" applyProtection="1">
      <alignment horizontal="left" vertical="center"/>
      <protection locked="0"/>
    </xf>
    <xf numFmtId="9" fontId="17" fillId="3" borderId="7" xfId="2" applyFont="1" applyFill="1" applyBorder="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0" fillId="0" borderId="1" xfId="0" applyBorder="1" applyAlignment="1">
      <alignment horizontal="left" vertical="center" indent="2"/>
    </xf>
    <xf numFmtId="0" fontId="0" fillId="0" borderId="0" xfId="0" applyAlignment="1">
      <alignment horizontal="left" vertical="center" indent="2"/>
    </xf>
    <xf numFmtId="0" fontId="14" fillId="0" borderId="0" xfId="1" quotePrefix="1" applyFont="1" applyAlignment="1" applyProtection="1">
      <alignment vertical="center"/>
      <protection locked="0"/>
    </xf>
    <xf numFmtId="0" fontId="13" fillId="0" borderId="0" xfId="1" applyFont="1" applyAlignment="1" applyProtection="1">
      <alignment horizontal="center" vertical="center"/>
      <protection locked="0"/>
    </xf>
    <xf numFmtId="0" fontId="19" fillId="0" borderId="0" xfId="3" applyAlignment="1" applyProtection="1">
      <alignment vertical="center"/>
      <protection locked="0"/>
    </xf>
    <xf numFmtId="0" fontId="13" fillId="6" borderId="1" xfId="1" applyFont="1" applyFill="1" applyBorder="1" applyAlignment="1" applyProtection="1">
      <alignment horizontal="center" vertical="center"/>
      <protection locked="0"/>
    </xf>
    <xf numFmtId="0" fontId="14" fillId="6" borderId="0" xfId="1" applyFont="1" applyFill="1" applyAlignment="1" applyProtection="1">
      <alignment horizontal="center" vertical="center"/>
      <protection locked="0"/>
    </xf>
    <xf numFmtId="49" fontId="14" fillId="6" borderId="0" xfId="1" applyNumberFormat="1" applyFont="1" applyFill="1" applyAlignment="1" applyProtection="1">
      <alignment horizontal="center" vertical="center"/>
      <protection locked="0"/>
    </xf>
    <xf numFmtId="0" fontId="14" fillId="4" borderId="1" xfId="1" applyFont="1" applyFill="1" applyBorder="1" applyAlignment="1" applyProtection="1">
      <alignment vertical="center"/>
      <protection locked="0"/>
    </xf>
    <xf numFmtId="49" fontId="14" fillId="0" borderId="0" xfId="1" applyNumberFormat="1" applyFont="1" applyAlignment="1" applyProtection="1">
      <alignment horizontal="center" vertical="center"/>
      <protection locked="0"/>
    </xf>
    <xf numFmtId="0" fontId="20" fillId="0" borderId="0" xfId="0" applyFont="1"/>
    <xf numFmtId="0" fontId="20" fillId="0" borderId="0" xfId="0" applyFont="1" applyAlignment="1">
      <alignment horizontal="center"/>
    </xf>
    <xf numFmtId="0" fontId="19" fillId="0" borderId="0" xfId="3"/>
    <xf numFmtId="0" fontId="21" fillId="0" borderId="0" xfId="0" applyFont="1"/>
    <xf numFmtId="0" fontId="0" fillId="9" borderId="0" xfId="0" applyFill="1"/>
    <xf numFmtId="0" fontId="0" fillId="9" borderId="0" xfId="0" applyFill="1" applyAlignment="1">
      <alignment horizontal="center" vertical="center"/>
    </xf>
    <xf numFmtId="0" fontId="0" fillId="9" borderId="0" xfId="0" applyFill="1" applyAlignment="1">
      <alignment horizontal="center"/>
    </xf>
    <xf numFmtId="0" fontId="0" fillId="6" borderId="0" xfId="0" applyFill="1"/>
    <xf numFmtId="0" fontId="0" fillId="6" borderId="0" xfId="0" applyFill="1" applyAlignment="1">
      <alignment horizontal="center"/>
    </xf>
    <xf numFmtId="9" fontId="17" fillId="10" borderId="7" xfId="2" applyFont="1" applyFill="1" applyBorder="1" applyAlignment="1">
      <alignment horizontal="center" vertical="center"/>
    </xf>
    <xf numFmtId="0" fontId="14" fillId="6" borderId="0" xfId="1" quotePrefix="1" applyFont="1" applyFill="1" applyAlignment="1" applyProtection="1">
      <alignment horizontal="center" vertical="center"/>
      <protection locked="0"/>
    </xf>
    <xf numFmtId="49" fontId="14" fillId="6" borderId="0" xfId="1" quotePrefix="1" applyNumberFormat="1" applyFont="1" applyFill="1" applyAlignment="1" applyProtection="1">
      <alignment horizontal="center" vertical="center"/>
      <protection locked="0"/>
    </xf>
    <xf numFmtId="0" fontId="14" fillId="6" borderId="3" xfId="1" applyFont="1" applyFill="1" applyBorder="1" applyAlignment="1" applyProtection="1">
      <alignment vertical="center"/>
      <protection locked="0"/>
    </xf>
    <xf numFmtId="0" fontId="14" fillId="11" borderId="1" xfId="1" applyFont="1" applyFill="1" applyBorder="1" applyAlignment="1" applyProtection="1">
      <alignment vertical="center"/>
      <protection locked="0"/>
    </xf>
    <xf numFmtId="0" fontId="14" fillId="5" borderId="3" xfId="1" applyFont="1" applyFill="1" applyBorder="1" applyAlignment="1" applyProtection="1">
      <alignment vertical="center"/>
      <protection locked="0"/>
    </xf>
    <xf numFmtId="0" fontId="14" fillId="12" borderId="3" xfId="1" applyFont="1" applyFill="1" applyBorder="1" applyAlignment="1" applyProtection="1">
      <alignment vertical="center"/>
      <protection locked="0"/>
    </xf>
    <xf numFmtId="0" fontId="14" fillId="4" borderId="3" xfId="1" applyFont="1" applyFill="1" applyBorder="1" applyAlignment="1" applyProtection="1">
      <alignment vertical="center"/>
      <protection locked="0"/>
    </xf>
    <xf numFmtId="0" fontId="14" fillId="11" borderId="3" xfId="1" applyFont="1" applyFill="1" applyBorder="1" applyAlignment="1" applyProtection="1">
      <alignment vertical="center"/>
      <protection locked="0"/>
    </xf>
    <xf numFmtId="0" fontId="14" fillId="6" borderId="1" xfId="1" applyFont="1" applyFill="1" applyBorder="1" applyAlignment="1" applyProtection="1">
      <alignment vertical="center"/>
      <protection locked="0"/>
    </xf>
    <xf numFmtId="0" fontId="0" fillId="0" borderId="0" xfId="0" applyAlignment="1">
      <alignment horizontal="right"/>
    </xf>
    <xf numFmtId="0" fontId="22" fillId="0" borderId="0" xfId="0" applyFont="1" applyAlignment="1">
      <alignment horizontal="center"/>
    </xf>
    <xf numFmtId="0" fontId="22" fillId="6" borderId="0" xfId="0" applyFont="1" applyFill="1" applyAlignment="1">
      <alignment horizontal="center"/>
    </xf>
    <xf numFmtId="0" fontId="22" fillId="14" borderId="0" xfId="0" applyFont="1" applyFill="1" applyAlignment="1">
      <alignment horizontal="center"/>
    </xf>
    <xf numFmtId="0" fontId="22" fillId="15" borderId="0" xfId="0" applyFont="1" applyFill="1" applyAlignment="1">
      <alignment horizontal="center"/>
    </xf>
    <xf numFmtId="0" fontId="22" fillId="16" borderId="0" xfId="0" applyFont="1" applyFill="1" applyAlignment="1">
      <alignment horizontal="center"/>
    </xf>
    <xf numFmtId="0" fontId="22" fillId="5" borderId="0" xfId="0" applyFont="1" applyFill="1" applyAlignment="1">
      <alignment horizontal="center"/>
    </xf>
    <xf numFmtId="0" fontId="22" fillId="17" borderId="0" xfId="0" applyFont="1" applyFill="1" applyAlignment="1">
      <alignment horizontal="center"/>
    </xf>
    <xf numFmtId="0" fontId="22" fillId="18" borderId="0" xfId="0" applyFont="1" applyFill="1" applyAlignment="1">
      <alignment horizontal="center"/>
    </xf>
    <xf numFmtId="0" fontId="22" fillId="13" borderId="0" xfId="0" applyFont="1" applyFill="1"/>
    <xf numFmtId="0" fontId="22" fillId="0" borderId="0" xfId="0" applyFont="1"/>
    <xf numFmtId="0" fontId="0" fillId="7" borderId="0" xfId="0" applyFill="1"/>
    <xf numFmtId="0" fontId="23" fillId="0" borderId="0" xfId="0" applyFont="1" applyAlignment="1">
      <alignment horizontal="center"/>
    </xf>
    <xf numFmtId="0" fontId="14" fillId="19" borderId="3" xfId="1" applyFont="1" applyFill="1" applyBorder="1" applyAlignment="1" applyProtection="1">
      <alignment vertical="center"/>
      <protection locked="0"/>
    </xf>
    <xf numFmtId="0" fontId="0" fillId="7" borderId="0" xfId="0" applyFill="1" applyAlignment="1">
      <alignment horizontal="center"/>
    </xf>
    <xf numFmtId="0" fontId="20" fillId="6" borderId="0" xfId="0" applyFont="1" applyFill="1" applyAlignment="1">
      <alignment horizontal="center"/>
    </xf>
    <xf numFmtId="0" fontId="12" fillId="0" borderId="0" xfId="0" applyFont="1" applyAlignment="1">
      <alignment horizontal="center"/>
    </xf>
    <xf numFmtId="0" fontId="19" fillId="0" borderId="0" xfId="3" applyFill="1" applyAlignment="1" applyProtection="1">
      <alignment vertical="center"/>
      <protection locked="0"/>
    </xf>
    <xf numFmtId="0" fontId="19" fillId="0" borderId="0" xfId="3" applyFill="1" applyBorder="1" applyAlignment="1" applyProtection="1">
      <alignment vertical="center"/>
      <protection locked="0"/>
    </xf>
    <xf numFmtId="0" fontId="0" fillId="6" borderId="0" xfId="0" applyFill="1" applyAlignment="1">
      <alignment horizontal="right"/>
    </xf>
    <xf numFmtId="0" fontId="0" fillId="20" borderId="0" xfId="0" applyFill="1" applyAlignment="1">
      <alignment horizontal="right"/>
    </xf>
    <xf numFmtId="49" fontId="14" fillId="0" borderId="0" xfId="1" applyNumberFormat="1" applyFont="1" applyAlignment="1" applyProtection="1">
      <alignment vertical="center"/>
      <protection locked="0"/>
    </xf>
    <xf numFmtId="49" fontId="0" fillId="0" borderId="0" xfId="0" applyNumberFormat="1"/>
    <xf numFmtId="0" fontId="14" fillId="10" borderId="3" xfId="1" applyFont="1" applyFill="1" applyBorder="1" applyAlignment="1" applyProtection="1">
      <alignment vertical="center"/>
      <protection locked="0"/>
    </xf>
    <xf numFmtId="0" fontId="14" fillId="21" borderId="3" xfId="1" applyFont="1" applyFill="1" applyBorder="1" applyAlignment="1" applyProtection="1">
      <alignment vertical="center"/>
      <protection locked="0"/>
    </xf>
    <xf numFmtId="0" fontId="14" fillId="22" borderId="1" xfId="1" applyFont="1" applyFill="1" applyBorder="1" applyAlignment="1" applyProtection="1">
      <alignment vertical="center"/>
      <protection locked="0"/>
    </xf>
    <xf numFmtId="0" fontId="14" fillId="22" borderId="3" xfId="1" applyFont="1" applyFill="1" applyBorder="1" applyAlignment="1" applyProtection="1">
      <alignment vertical="center"/>
      <protection locked="0"/>
    </xf>
    <xf numFmtId="0" fontId="20" fillId="7" borderId="0" xfId="0" applyFont="1" applyFill="1" applyAlignment="1">
      <alignment horizontal="center"/>
    </xf>
    <xf numFmtId="0" fontId="16" fillId="5" borderId="2" xfId="0" applyFont="1" applyFill="1" applyBorder="1" applyAlignment="1">
      <alignment horizontal="center" vertical="center" wrapText="1"/>
    </xf>
    <xf numFmtId="0" fontId="16" fillId="5" borderId="3"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6" fillId="5" borderId="9" xfId="0" applyFont="1" applyFill="1" applyBorder="1" applyAlignment="1">
      <alignment horizontal="center" vertical="center" wrapText="1"/>
    </xf>
    <xf numFmtId="0" fontId="16" fillId="5" borderId="10"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49" fontId="0" fillId="2" borderId="2" xfId="0" applyNumberFormat="1" applyFill="1" applyBorder="1" applyAlignment="1">
      <alignment horizontal="center" vertical="center" wrapText="1"/>
    </xf>
    <xf numFmtId="49" fontId="0" fillId="2" borderId="3" xfId="0" applyNumberFormat="1" applyFill="1" applyBorder="1" applyAlignment="1">
      <alignment horizontal="center" vertical="center" wrapText="1"/>
    </xf>
    <xf numFmtId="49" fontId="0" fillId="2" borderId="4" xfId="0" applyNumberFormat="1" applyFill="1" applyBorder="1" applyAlignment="1">
      <alignment horizontal="center" vertical="center" wrapText="1"/>
    </xf>
    <xf numFmtId="49" fontId="0" fillId="0" borderId="2" xfId="0" applyNumberFormat="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6" fillId="5" borderId="11"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16" fillId="5" borderId="13" xfId="0" applyFont="1" applyFill="1" applyBorder="1" applyAlignment="1">
      <alignment horizontal="center" vertical="center" wrapText="1"/>
    </xf>
    <xf numFmtId="1" fontId="16" fillId="0" borderId="2" xfId="0" applyNumberFormat="1" applyFont="1" applyBorder="1" applyAlignment="1">
      <alignment horizontal="center" vertical="center"/>
    </xf>
    <xf numFmtId="1" fontId="16" fillId="0" borderId="3" xfId="0" applyNumberFormat="1" applyFont="1" applyBorder="1" applyAlignment="1">
      <alignment horizontal="center" vertical="center"/>
    </xf>
    <xf numFmtId="1" fontId="16" fillId="0" borderId="4" xfId="0" applyNumberFormat="1" applyFont="1" applyBorder="1" applyAlignment="1">
      <alignment horizontal="center" vertical="center"/>
    </xf>
    <xf numFmtId="1" fontId="16" fillId="0" borderId="8" xfId="0" applyNumberFormat="1" applyFont="1" applyBorder="1" applyAlignment="1">
      <alignment horizontal="center" vertical="center"/>
    </xf>
    <xf numFmtId="1" fontId="16" fillId="0" borderId="9" xfId="0" applyNumberFormat="1" applyFont="1" applyBorder="1" applyAlignment="1">
      <alignment horizontal="center" vertical="center"/>
    </xf>
    <xf numFmtId="1" fontId="16" fillId="0" borderId="10" xfId="0" applyNumberFormat="1" applyFont="1" applyBorder="1" applyAlignment="1">
      <alignment horizontal="center" vertical="center"/>
    </xf>
    <xf numFmtId="1" fontId="12" fillId="10" borderId="5" xfId="0" applyNumberFormat="1" applyFont="1" applyFill="1" applyBorder="1" applyAlignment="1">
      <alignment horizontal="center"/>
    </xf>
    <xf numFmtId="1" fontId="12" fillId="10" borderId="6" xfId="0" applyNumberFormat="1" applyFont="1" applyFill="1" applyBorder="1" applyAlignment="1">
      <alignment horizontal="center"/>
    </xf>
    <xf numFmtId="49" fontId="0" fillId="0" borderId="14" xfId="0" applyNumberFormat="1" applyBorder="1" applyAlignment="1">
      <alignment horizontal="center" vertical="center" wrapText="1"/>
    </xf>
    <xf numFmtId="49" fontId="0" fillId="0" borderId="15" xfId="0" applyNumberFormat="1" applyBorder="1" applyAlignment="1">
      <alignment horizontal="center" vertical="center" wrapText="1"/>
    </xf>
    <xf numFmtId="49" fontId="0" fillId="0" borderId="16" xfId="0" applyNumberFormat="1" applyBorder="1" applyAlignment="1">
      <alignment horizontal="center" vertical="center" wrapText="1"/>
    </xf>
    <xf numFmtId="1" fontId="12" fillId="4" borderId="5" xfId="0" applyNumberFormat="1" applyFont="1" applyFill="1" applyBorder="1" applyAlignment="1">
      <alignment horizontal="center" vertical="center"/>
    </xf>
    <xf numFmtId="1" fontId="12" fillId="4" borderId="6" xfId="0" applyNumberFormat="1" applyFont="1" applyFill="1" applyBorder="1" applyAlignment="1">
      <alignment horizontal="center" vertical="center"/>
    </xf>
    <xf numFmtId="1" fontId="12" fillId="4" borderId="7" xfId="0" applyNumberFormat="1" applyFont="1" applyFill="1" applyBorder="1" applyAlignment="1">
      <alignment horizontal="center" vertical="center"/>
    </xf>
    <xf numFmtId="1" fontId="16" fillId="0" borderId="11" xfId="0" applyNumberFormat="1" applyFont="1" applyBorder="1" applyAlignment="1">
      <alignment horizontal="center" vertical="center"/>
    </xf>
    <xf numFmtId="1" fontId="16" fillId="0" borderId="12" xfId="0" applyNumberFormat="1" applyFont="1" applyBorder="1" applyAlignment="1">
      <alignment horizontal="center" vertical="center"/>
    </xf>
    <xf numFmtId="1" fontId="16" fillId="0" borderId="13" xfId="0" applyNumberFormat="1" applyFont="1" applyBorder="1" applyAlignment="1">
      <alignment horizontal="center" vertical="center"/>
    </xf>
    <xf numFmtId="1" fontId="12" fillId="3" borderId="5" xfId="0" applyNumberFormat="1" applyFont="1" applyFill="1" applyBorder="1" applyAlignment="1">
      <alignment horizontal="center"/>
    </xf>
    <xf numFmtId="1" fontId="12" fillId="3" borderId="6" xfId="0" applyNumberFormat="1" applyFont="1" applyFill="1" applyBorder="1" applyAlignment="1">
      <alignment horizontal="center"/>
    </xf>
    <xf numFmtId="49" fontId="0" fillId="2" borderId="11" xfId="0" applyNumberFormat="1" applyFill="1" applyBorder="1" applyAlignment="1">
      <alignment horizontal="center" vertical="center" wrapText="1"/>
    </xf>
    <xf numFmtId="49" fontId="0" fillId="2" borderId="12" xfId="0" applyNumberFormat="1" applyFill="1" applyBorder="1" applyAlignment="1">
      <alignment horizontal="center" vertical="center" wrapText="1"/>
    </xf>
    <xf numFmtId="49" fontId="0" fillId="2" borderId="13" xfId="0" applyNumberFormat="1" applyFill="1" applyBorder="1" applyAlignment="1">
      <alignment horizontal="center" vertical="center" wrapText="1"/>
    </xf>
    <xf numFmtId="49" fontId="0" fillId="0" borderId="11" xfId="0" applyNumberFormat="1" applyBorder="1" applyAlignment="1">
      <alignment horizontal="center" vertical="center" wrapText="1"/>
    </xf>
    <xf numFmtId="49" fontId="0" fillId="0" borderId="12" xfId="0" applyNumberFormat="1" applyBorder="1" applyAlignment="1">
      <alignment horizontal="center" vertical="center" wrapText="1"/>
    </xf>
    <xf numFmtId="49" fontId="0" fillId="0" borderId="13" xfId="0" applyNumberFormat="1" applyBorder="1" applyAlignment="1">
      <alignment horizontal="center" vertical="center" wrapText="1"/>
    </xf>
    <xf numFmtId="49" fontId="0" fillId="7" borderId="2" xfId="0" applyNumberFormat="1" applyFill="1" applyBorder="1" applyAlignment="1">
      <alignment horizontal="center" vertical="center" wrapText="1"/>
    </xf>
    <xf numFmtId="49" fontId="0" fillId="7" borderId="3" xfId="0" applyNumberFormat="1" applyFill="1" applyBorder="1" applyAlignment="1">
      <alignment horizontal="center" vertical="center" wrapText="1"/>
    </xf>
    <xf numFmtId="49" fontId="0" fillId="7" borderId="4" xfId="0" applyNumberFormat="1" applyFill="1" applyBorder="1" applyAlignment="1">
      <alignment horizontal="center" vertical="center" wrapText="1"/>
    </xf>
    <xf numFmtId="49" fontId="0" fillId="8" borderId="2" xfId="0" applyNumberFormat="1" applyFill="1" applyBorder="1" applyAlignment="1">
      <alignment horizontal="center" vertical="center" wrapText="1"/>
    </xf>
    <xf numFmtId="49" fontId="0" fillId="8" borderId="3" xfId="0" applyNumberFormat="1" applyFill="1" applyBorder="1" applyAlignment="1">
      <alignment horizontal="center" vertical="center" wrapText="1"/>
    </xf>
    <xf numFmtId="49" fontId="0" fillId="8" borderId="4" xfId="0" applyNumberFormat="1" applyFill="1" applyBorder="1" applyAlignment="1">
      <alignment horizontal="center" vertical="center" wrapText="1"/>
    </xf>
    <xf numFmtId="0" fontId="21" fillId="0" borderId="0" xfId="0" applyFont="1" applyAlignment="1">
      <alignment horizontal="center"/>
    </xf>
    <xf numFmtId="1" fontId="12" fillId="3" borderId="5" xfId="0" applyNumberFormat="1" applyFont="1" applyFill="1" applyBorder="1" applyAlignment="1">
      <alignment horizontal="center" vertical="center"/>
    </xf>
    <xf numFmtId="1" fontId="12" fillId="3" borderId="6" xfId="0" applyNumberFormat="1" applyFont="1" applyFill="1" applyBorder="1" applyAlignment="1">
      <alignment horizontal="center" vertical="center"/>
    </xf>
    <xf numFmtId="1" fontId="12" fillId="3" borderId="7" xfId="0" applyNumberFormat="1" applyFont="1" applyFill="1" applyBorder="1" applyAlignment="1">
      <alignment horizontal="center" vertical="center"/>
    </xf>
  </cellXfs>
  <cellStyles count="4">
    <cellStyle name="Hivatkozás" xfId="3" builtinId="8"/>
    <cellStyle name="Normál" xfId="0" builtinId="0"/>
    <cellStyle name="Normal 2" xfId="1" xr:uid="{00000000-0005-0000-0000-000001000000}"/>
    <cellStyle name="Százalék 2" xfId="2" xr:uid="{00000000-0005-0000-0000-000002000000}"/>
  </cellStyles>
  <dxfs count="62">
    <dxf>
      <font>
        <color theme="0"/>
      </font>
      <fill>
        <patternFill>
          <bgColor theme="5" tint="-0.24994659260841701"/>
        </patternFill>
      </fill>
    </dxf>
    <dxf>
      <font>
        <color theme="0"/>
      </font>
    </dxf>
    <dxf>
      <font>
        <color theme="0"/>
      </font>
    </dxf>
    <dxf>
      <font>
        <color theme="0"/>
      </font>
      <fill>
        <patternFill>
          <bgColor theme="5" tint="-0.24994659260841701"/>
        </patternFill>
      </fill>
    </dxf>
    <dxf>
      <font>
        <color theme="0"/>
      </font>
      <fill>
        <patternFill>
          <bgColor theme="5" tint="-0.24994659260841701"/>
        </patternFill>
      </fill>
    </dxf>
    <dxf>
      <font>
        <color theme="0"/>
      </font>
    </dxf>
    <dxf>
      <font>
        <color theme="0"/>
      </font>
      <fill>
        <patternFill>
          <bgColor theme="5" tint="-0.24994659260841701"/>
        </patternFill>
      </fill>
    </dxf>
    <dxf>
      <font>
        <color theme="0"/>
      </font>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dxf>
    <dxf>
      <font>
        <color theme="0"/>
      </font>
      <fill>
        <patternFill>
          <bgColor theme="5"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295275</xdr:colOff>
      <xdr:row>1</xdr:row>
      <xdr:rowOff>104354</xdr:rowOff>
    </xdr:from>
    <xdr:ext cx="7067550" cy="18353614"/>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295275" y="287234"/>
          <a:ext cx="7067550" cy="183536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endParaRPr lang="en-US" sz="2000" b="1">
            <a:solidFill>
              <a:schemeClr val="tx1"/>
            </a:solidFill>
            <a:effectLst/>
            <a:latin typeface="+mn-lt"/>
            <a:ea typeface="+mn-ea"/>
            <a:cs typeface="+mn-cs"/>
          </a:endParaRPr>
        </a:p>
        <a:p>
          <a:r>
            <a:rPr lang="hu-HU" sz="2000" b="1">
              <a:solidFill>
                <a:schemeClr val="tx1"/>
              </a:solidFill>
              <a:effectLst/>
              <a:latin typeface="+mn-lt"/>
              <a:ea typeface="+mn-ea"/>
              <a:cs typeface="+mn-cs"/>
            </a:rPr>
            <a:t>15. Arasz - Öntöde SQUASH LIGA </a:t>
          </a:r>
          <a:r>
            <a:rPr lang="en-US" sz="2000" b="1">
              <a:solidFill>
                <a:schemeClr val="tx1"/>
              </a:solidFill>
              <a:effectLst/>
              <a:latin typeface="+mn-lt"/>
              <a:ea typeface="+mn-ea"/>
              <a:cs typeface="+mn-cs"/>
            </a:rPr>
            <a:t>-</a:t>
          </a:r>
          <a:r>
            <a:rPr lang="en-US" sz="2000" b="1" baseline="0">
              <a:solidFill>
                <a:schemeClr val="tx1"/>
              </a:solidFill>
              <a:effectLst/>
              <a:latin typeface="+mn-lt"/>
              <a:ea typeface="+mn-ea"/>
              <a:cs typeface="+mn-cs"/>
            </a:rPr>
            <a:t> </a:t>
          </a:r>
          <a:r>
            <a:rPr lang="hu-HU" sz="2000" b="1">
              <a:solidFill>
                <a:schemeClr val="tx1"/>
              </a:solidFill>
              <a:effectLst/>
              <a:latin typeface="+mn-lt"/>
              <a:ea typeface="+mn-ea"/>
              <a:cs typeface="+mn-cs"/>
            </a:rPr>
            <a:t>VERSENYKIÍRÁS</a:t>
          </a:r>
          <a:endParaRPr lang="en-US" sz="2000">
            <a:solidFill>
              <a:schemeClr val="tx1"/>
            </a:solidFill>
            <a:effectLst/>
            <a:latin typeface="+mn-lt"/>
            <a:ea typeface="+mn-ea"/>
            <a:cs typeface="+mn-cs"/>
          </a:endParaRPr>
        </a:p>
        <a:p>
          <a:r>
            <a:rPr lang="hu-HU" sz="2000" b="1">
              <a:solidFill>
                <a:schemeClr val="tx1"/>
              </a:solidFill>
              <a:effectLst/>
              <a:latin typeface="+mn-lt"/>
              <a:ea typeface="+mn-ea"/>
              <a:cs typeface="+mn-cs"/>
            </a:rPr>
            <a:t>15. forduló</a:t>
          </a:r>
          <a:endParaRPr lang="en-US" sz="2000">
            <a:solidFill>
              <a:schemeClr val="tx1"/>
            </a:solidFill>
            <a:effectLst/>
            <a:latin typeface="+mn-lt"/>
            <a:ea typeface="+mn-ea"/>
            <a:cs typeface="+mn-cs"/>
          </a:endParaRPr>
        </a:p>
        <a:p>
          <a:endParaRPr lang="en-US" sz="1200" b="1">
            <a:solidFill>
              <a:schemeClr val="tx1"/>
            </a:solidFill>
            <a:effectLst/>
            <a:latin typeface="+mn-lt"/>
            <a:ea typeface="+mn-ea"/>
            <a:cs typeface="+mn-cs"/>
          </a:endParaRPr>
        </a:p>
        <a:p>
          <a:pPr>
            <a:lnSpc>
              <a:spcPct val="107000"/>
            </a:lnSpc>
            <a:spcAft>
              <a:spcPts val="800"/>
            </a:spcAft>
          </a:pPr>
          <a:r>
            <a:rPr lang="hu-HU" sz="1200" b="1">
              <a:solidFill>
                <a:schemeClr val="tx1"/>
              </a:solidFill>
              <a:effectLst/>
              <a:latin typeface="+mn-lt"/>
              <a:ea typeface="+mn-ea"/>
              <a:cs typeface="+mn-cs"/>
            </a:rPr>
            <a:t>A verseny fordulójának kezdete:</a:t>
          </a:r>
          <a:r>
            <a:rPr lang="hu-HU" sz="1200">
              <a:solidFill>
                <a:schemeClr val="tx1"/>
              </a:solidFill>
              <a:effectLst/>
              <a:latin typeface="+mn-lt"/>
              <a:ea typeface="+mn-ea"/>
              <a:cs typeface="+mn-cs"/>
            </a:rPr>
            <a:t> </a:t>
          </a:r>
          <a:r>
            <a:rPr kumimoji="0" lang="hu-HU" sz="1200" b="1" i="0" u="none" strike="noStrike" kern="0" cap="none" spc="0" normalizeH="0" baseline="0" noProof="0">
              <a:ln>
                <a:noFill/>
              </a:ln>
              <a:solidFill>
                <a:srgbClr val="FF0000"/>
              </a:solidFill>
              <a:effectLst/>
              <a:uLnTx/>
              <a:uFillTx/>
              <a:latin typeface="+mn-lt"/>
              <a:ea typeface="+mn-ea"/>
              <a:cs typeface="+mn-cs"/>
            </a:rPr>
            <a:t>2026.június 02</a:t>
          </a:r>
          <a:r>
            <a:rPr kumimoji="0" lang="en-US" sz="1200" b="1" i="0" u="none" strike="noStrike" kern="0" cap="none" spc="0" normalizeH="0" baseline="0" noProof="0">
              <a:ln>
                <a:noFill/>
              </a:ln>
              <a:solidFill>
                <a:srgbClr val="FF0000"/>
              </a:solidFill>
              <a:effectLst/>
              <a:uLnTx/>
              <a:uFillTx/>
              <a:latin typeface="+mn-lt"/>
              <a:ea typeface="+mn-ea"/>
              <a:cs typeface="+mn-cs"/>
            </a:rPr>
            <a:t>.</a:t>
          </a:r>
          <a:r>
            <a:rPr kumimoji="0" lang="hu-HU" sz="1200" b="0" i="0" u="none" strike="noStrike" kern="0" cap="none" spc="0" normalizeH="0" baseline="0" noProof="0">
              <a:ln>
                <a:noFill/>
              </a:ln>
              <a:solidFill>
                <a:prstClr val="black"/>
              </a:solidFill>
              <a:effectLst/>
              <a:uLnTx/>
              <a:uFillTx/>
              <a:latin typeface="+mn-lt"/>
              <a:ea typeface="+mn-ea"/>
              <a:cs typeface="+mn-cs"/>
            </a:rPr>
            <a:t>, befejezés: </a:t>
          </a:r>
          <a:r>
            <a:rPr kumimoji="0" lang="hu-HU" sz="1200" b="1" i="0" u="none" strike="noStrike" kern="0" cap="none" spc="0" normalizeH="0" baseline="0" noProof="0">
              <a:ln>
                <a:noFill/>
              </a:ln>
              <a:solidFill>
                <a:srgbClr val="FF0000"/>
              </a:solidFill>
              <a:effectLst/>
              <a:uLnTx/>
              <a:uFillTx/>
              <a:latin typeface="+mn-lt"/>
              <a:ea typeface="+mn-ea"/>
              <a:cs typeface="+mn-cs"/>
            </a:rPr>
            <a:t>2026 augusztus 16.</a:t>
          </a:r>
          <a:endParaRPr kumimoji="0" lang="en-US" sz="1200" b="1" i="0" u="none" strike="noStrike" kern="0" cap="none" spc="0" normalizeH="0" baseline="0" noProof="0">
            <a:ln>
              <a:noFill/>
            </a:ln>
            <a:solidFill>
              <a:srgbClr val="FF0000"/>
            </a:solidFill>
            <a:effectLst/>
            <a:uLnTx/>
            <a:uFillTx/>
            <a:latin typeface="+mn-lt"/>
            <a:ea typeface="+mn-ea"/>
            <a:cs typeface="+mn-cs"/>
          </a:endParaRPr>
        </a:p>
        <a:p>
          <a:pPr algn="just"/>
          <a:r>
            <a:rPr lang="hu-HU" sz="1200">
              <a:solidFill>
                <a:schemeClr val="tx1"/>
              </a:solidFill>
              <a:effectLst/>
              <a:latin typeface="+mn-lt"/>
              <a:ea typeface="+mn-ea"/>
              <a:cs typeface="+mn-cs"/>
            </a:rPr>
            <a:t>Kategóriák: </a:t>
          </a:r>
          <a:r>
            <a:rPr lang="hu-HU" sz="1200">
              <a:effectLst/>
              <a:latin typeface="+mn-lt"/>
              <a:ea typeface="Calibri" panose="020F0502020204030204" pitchFamily="34" charset="0"/>
              <a:cs typeface="Times New Roman" panose="02020603050405020304" pitchFamily="18" charset="0"/>
            </a:rPr>
            <a:t>vegyes kategória, korosztálytól független. </a:t>
          </a:r>
        </a:p>
        <a:p>
          <a:pPr algn="just"/>
          <a:r>
            <a:rPr lang="hu-HU" sz="1200" b="1">
              <a:solidFill>
                <a:schemeClr val="tx1"/>
              </a:solidFill>
              <a:effectLst/>
              <a:latin typeface="+mn-lt"/>
              <a:ea typeface="+mn-ea"/>
              <a:cs typeface="+mn-cs"/>
            </a:rPr>
            <a:t>Lebonyolítás: </a:t>
          </a:r>
          <a:r>
            <a:rPr lang="hu-HU" sz="1200">
              <a:solidFill>
                <a:schemeClr val="tx1"/>
              </a:solidFill>
              <a:effectLst/>
              <a:latin typeface="+mn-lt"/>
              <a:ea typeface="+mn-ea"/>
              <a:cs typeface="+mn-cs"/>
            </a:rPr>
            <a:t>A 15. fordulóra érkezett nevezések alapján mindenkit besoroltunk a ranglista helyezések</a:t>
          </a:r>
          <a:r>
            <a:rPr lang="hu-HU" sz="1200" baseline="0">
              <a:solidFill>
                <a:schemeClr val="tx1"/>
              </a:solidFill>
              <a:effectLst/>
              <a:latin typeface="+mn-lt"/>
              <a:ea typeface="+mn-ea"/>
              <a:cs typeface="+mn-cs"/>
            </a:rPr>
            <a:t> </a:t>
          </a:r>
          <a:r>
            <a:rPr lang="hu-HU" sz="1200">
              <a:solidFill>
                <a:schemeClr val="tx1"/>
              </a:solidFill>
              <a:effectLst/>
              <a:latin typeface="+mn-lt"/>
              <a:ea typeface="+mn-ea"/>
              <a:cs typeface="+mn-cs"/>
            </a:rPr>
            <a:t>alapján megfelelő 8-9</a:t>
          </a:r>
          <a:r>
            <a:rPr lang="hu-HU" sz="1200" baseline="0">
              <a:solidFill>
                <a:schemeClr val="tx1"/>
              </a:solidFill>
              <a:effectLst/>
              <a:latin typeface="+mn-lt"/>
              <a:ea typeface="+mn-ea"/>
              <a:cs typeface="+mn-cs"/>
            </a:rPr>
            <a:t> </a:t>
          </a:r>
          <a:r>
            <a:rPr lang="hu-HU" sz="1200">
              <a:solidFill>
                <a:schemeClr val="tx1"/>
              </a:solidFill>
              <a:effectLst/>
              <a:latin typeface="+mn-lt"/>
              <a:ea typeface="+mn-ea"/>
              <a:cs typeface="+mn-cs"/>
            </a:rPr>
            <a:t>fős ligacsoportokba</a:t>
          </a:r>
          <a:r>
            <a:rPr lang="hu-HU" sz="1200" baseline="0">
              <a:solidFill>
                <a:schemeClr val="tx1"/>
              </a:solidFill>
              <a:effectLst/>
              <a:latin typeface="+mn-lt"/>
              <a:ea typeface="+mn-ea"/>
              <a:cs typeface="+mn-cs"/>
            </a:rPr>
            <a:t>.</a:t>
          </a:r>
          <a:r>
            <a:rPr lang="hu-HU" sz="1200">
              <a:solidFill>
                <a:schemeClr val="tx1"/>
              </a:solidFill>
              <a:effectLst/>
              <a:latin typeface="+mn-lt"/>
              <a:ea typeface="+mn-ea"/>
              <a:cs typeface="+mn-cs"/>
            </a:rPr>
            <a:t>(A,B,C,D,E,). A ligán belül körmérkőzést játszanak a csoporttagok. A csoportok </a:t>
          </a:r>
          <a:r>
            <a:rPr lang="hu-HU" sz="1200" b="1" u="sng">
              <a:solidFill>
                <a:schemeClr val="tx1"/>
              </a:solidFill>
              <a:effectLst/>
              <a:latin typeface="+mn-lt"/>
              <a:ea typeface="+mn-ea"/>
              <a:cs typeface="+mn-cs"/>
            </a:rPr>
            <a:t>első és második helyezettje </a:t>
          </a:r>
          <a:r>
            <a:rPr lang="hu-HU" sz="1200">
              <a:solidFill>
                <a:schemeClr val="tx1"/>
              </a:solidFill>
              <a:effectLst/>
              <a:latin typeface="+mn-lt"/>
              <a:ea typeface="+mn-ea"/>
              <a:cs typeface="+mn-cs"/>
            </a:rPr>
            <a:t>automatikusan</a:t>
          </a:r>
          <a:r>
            <a:rPr lang="hu-HU" sz="1200" baseline="0">
              <a:solidFill>
                <a:schemeClr val="tx1"/>
              </a:solidFill>
              <a:effectLst/>
              <a:latin typeface="+mn-lt"/>
              <a:ea typeface="+mn-ea"/>
              <a:cs typeface="+mn-cs"/>
            </a:rPr>
            <a:t> </a:t>
          </a:r>
          <a:r>
            <a:rPr lang="hu-HU" sz="1200" b="1">
              <a:solidFill>
                <a:schemeClr val="tx1"/>
              </a:solidFill>
              <a:effectLst/>
              <a:latin typeface="+mn-lt"/>
              <a:ea typeface="+mn-ea"/>
              <a:cs typeface="+mn-cs"/>
            </a:rPr>
            <a:t>feljut</a:t>
          </a:r>
          <a:r>
            <a:rPr lang="hu-HU" sz="1200">
              <a:solidFill>
                <a:schemeClr val="tx1"/>
              </a:solidFill>
              <a:effectLst/>
              <a:latin typeface="+mn-lt"/>
              <a:ea typeface="+mn-ea"/>
              <a:cs typeface="+mn-cs"/>
            </a:rPr>
            <a:t> az erősebb csoportba, a</a:t>
          </a:r>
          <a:r>
            <a:rPr lang="hu-HU" sz="1200" baseline="0">
              <a:solidFill>
                <a:schemeClr val="tx1"/>
              </a:solidFill>
              <a:effectLst/>
              <a:latin typeface="+mn-lt"/>
              <a:ea typeface="+mn-ea"/>
              <a:cs typeface="+mn-cs"/>
            </a:rPr>
            <a:t> </a:t>
          </a:r>
          <a:r>
            <a:rPr lang="hu-HU" sz="1200" b="1" u="sng" baseline="0">
              <a:solidFill>
                <a:schemeClr val="tx1"/>
              </a:solidFill>
              <a:effectLst/>
              <a:latin typeface="+mn-lt"/>
              <a:ea typeface="+mn-ea"/>
              <a:cs typeface="+mn-cs"/>
            </a:rPr>
            <a:t>7.-8. </a:t>
          </a:r>
          <a:r>
            <a:rPr lang="hu-HU" sz="1200" b="1" u="sng">
              <a:solidFill>
                <a:schemeClr val="tx1"/>
              </a:solidFill>
              <a:effectLst/>
              <a:latin typeface="+mn-lt"/>
              <a:ea typeface="+mn-ea"/>
              <a:cs typeface="+mn-cs"/>
            </a:rPr>
            <a:t>helyezett kiesik</a:t>
          </a:r>
          <a:r>
            <a:rPr lang="hu-HU" sz="1200">
              <a:solidFill>
                <a:schemeClr val="tx1"/>
              </a:solidFill>
              <a:effectLst/>
              <a:latin typeface="+mn-lt"/>
              <a:ea typeface="+mn-ea"/>
              <a:cs typeface="+mn-cs"/>
            </a:rPr>
            <a:t> a gyengébbe.</a:t>
          </a:r>
          <a:r>
            <a:rPr lang="hu-HU" sz="1200" b="1" u="none">
              <a:solidFill>
                <a:schemeClr val="tx1"/>
              </a:solidFill>
              <a:effectLst/>
              <a:latin typeface="+mn-lt"/>
              <a:ea typeface="+mn-ea"/>
              <a:cs typeface="+mn-cs"/>
            </a:rPr>
            <a:t> </a:t>
          </a:r>
          <a:r>
            <a:rPr lang="hu-HU" sz="1200" b="1" i="1">
              <a:solidFill>
                <a:srgbClr val="FF0000"/>
              </a:solidFill>
              <a:effectLst/>
              <a:latin typeface="+mn-lt"/>
              <a:ea typeface="+mn-ea"/>
              <a:cs typeface="+mn-cs"/>
            </a:rPr>
            <a:t>Azok a játékosok, akik nem játszanak le egy mérkőzést sem, nem</a:t>
          </a:r>
          <a:r>
            <a:rPr lang="hu-HU" sz="1200" b="1" i="1" baseline="0">
              <a:solidFill>
                <a:srgbClr val="FF0000"/>
              </a:solidFill>
              <a:effectLst/>
              <a:latin typeface="+mn-lt"/>
              <a:ea typeface="+mn-ea"/>
              <a:cs typeface="+mn-cs"/>
            </a:rPr>
            <a:t> tettek előre jelzést vagy</a:t>
          </a:r>
          <a:r>
            <a:rPr lang="hu-HU" sz="1200" b="1" i="1">
              <a:solidFill>
                <a:srgbClr val="FF0000"/>
              </a:solidFill>
              <a:effectLst/>
              <a:latin typeface="+mn-lt"/>
              <a:ea typeface="+mn-ea"/>
              <a:cs typeface="+mn-cs"/>
            </a:rPr>
            <a:t> sérülést</a:t>
          </a:r>
          <a:r>
            <a:rPr lang="hu-HU" sz="1200" b="1" i="1" baseline="0">
              <a:solidFill>
                <a:srgbClr val="FF0000"/>
              </a:solidFill>
              <a:effectLst/>
              <a:latin typeface="+mn-lt"/>
              <a:ea typeface="+mn-ea"/>
              <a:cs typeface="+mn-cs"/>
            </a:rPr>
            <a:t> nem jelentettek, a következő fordulób</a:t>
          </a:r>
          <a:r>
            <a:rPr lang="en-US" sz="1200" b="1" i="1" baseline="0">
              <a:solidFill>
                <a:srgbClr val="FF0000"/>
              </a:solidFill>
              <a:effectLst/>
              <a:latin typeface="+mn-lt"/>
              <a:ea typeface="+mn-ea"/>
              <a:cs typeface="+mn-cs"/>
            </a:rPr>
            <a:t>an két csoporttal lejjebb folytathatják, vagy </a:t>
          </a:r>
          <a:r>
            <a:rPr lang="hu-HU" sz="1200" b="1" i="1" baseline="0">
              <a:solidFill>
                <a:srgbClr val="FF0000"/>
              </a:solidFill>
              <a:effectLst/>
              <a:latin typeface="+mn-lt"/>
              <a:ea typeface="+mn-ea"/>
              <a:cs typeface="+mn-cs"/>
            </a:rPr>
            <a:t>törlésre kerülnek(rendezőség dönt). </a:t>
          </a:r>
          <a:r>
            <a:rPr lang="hu-HU" sz="1200" b="0" i="0" baseline="0">
              <a:solidFill>
                <a:schemeClr val="tx1"/>
              </a:solidFill>
              <a:effectLst/>
              <a:latin typeface="+mn-lt"/>
              <a:ea typeface="+mn-ea"/>
              <a:cs typeface="+mn-cs"/>
            </a:rPr>
            <a:t>10-12 </a:t>
          </a:r>
          <a:r>
            <a:rPr lang="hu-HU" sz="1200">
              <a:solidFill>
                <a:schemeClr val="tx1"/>
              </a:solidFill>
              <a:effectLst/>
              <a:latin typeface="+mn-lt"/>
              <a:ea typeface="+mn-ea"/>
              <a:cs typeface="+mn-cs"/>
            </a:rPr>
            <a:t>hét</a:t>
          </a:r>
          <a:r>
            <a:rPr lang="hu-HU" sz="1200" baseline="0">
              <a:solidFill>
                <a:schemeClr val="tx1"/>
              </a:solidFill>
              <a:effectLst/>
              <a:latin typeface="+mn-lt"/>
              <a:ea typeface="+mn-ea"/>
              <a:cs typeface="+mn-cs"/>
            </a:rPr>
            <a:t>en </a:t>
          </a:r>
          <a:r>
            <a:rPr lang="hu-HU" sz="1200">
              <a:solidFill>
                <a:schemeClr val="tx1"/>
              </a:solidFill>
              <a:effectLst/>
              <a:latin typeface="+mn-lt"/>
              <a:ea typeface="+mn-ea"/>
              <a:cs typeface="+mn-cs"/>
            </a:rPr>
            <a:t>keresztül tart a körmérkőzéses szakasz.</a:t>
          </a:r>
          <a:r>
            <a:rPr lang="hu-HU" sz="1200" baseline="0">
              <a:solidFill>
                <a:schemeClr val="tx1"/>
              </a:solidFill>
              <a:effectLst/>
              <a:latin typeface="+mn-lt"/>
              <a:ea typeface="+mn-ea"/>
              <a:cs typeface="+mn-cs"/>
            </a:rPr>
            <a:t> </a:t>
          </a:r>
          <a:r>
            <a:rPr lang="hu-HU" sz="1200">
              <a:solidFill>
                <a:schemeClr val="tx1"/>
              </a:solidFill>
              <a:effectLst/>
              <a:latin typeface="+mn-lt"/>
              <a:ea typeface="+mn-ea"/>
              <a:cs typeface="+mn-cs"/>
            </a:rPr>
            <a:t>A mérkőzéseket és annak időpontját a játékosok szervezik.(minden ligacsoportnak készül</a:t>
          </a:r>
          <a:r>
            <a:rPr lang="hu-HU" sz="1200" baseline="0">
              <a:solidFill>
                <a:schemeClr val="tx1"/>
              </a:solidFill>
              <a:effectLst/>
              <a:latin typeface="+mn-lt"/>
              <a:ea typeface="+mn-ea"/>
              <a:cs typeface="+mn-cs"/>
            </a:rPr>
            <a:t> egy meccsszervező</a:t>
          </a:r>
          <a:r>
            <a:rPr lang="hu-HU" sz="1200">
              <a:solidFill>
                <a:schemeClr val="tx1"/>
              </a:solidFill>
              <a:effectLst/>
              <a:latin typeface="+mn-lt"/>
              <a:ea typeface="+mn-ea"/>
              <a:cs typeface="+mn-cs"/>
            </a:rPr>
            <a:t> viber csoport is)Vita esetén a rendezőség dönt. A mérkőzéseket a 15.ligában az előre meghatározott heti ellenféllel kell lejátszani </a:t>
          </a:r>
          <a:r>
            <a:rPr lang="hu-HU" sz="1200" baseline="0">
              <a:solidFill>
                <a:schemeClr val="tx1"/>
              </a:solidFill>
              <a:effectLst/>
              <a:latin typeface="+mn-lt"/>
              <a:ea typeface="+mn-ea"/>
              <a:cs typeface="+mn-cs"/>
            </a:rPr>
            <a:t> mérkőzésbeosztás szerint.(el lehet térni, de időpontot egyeztetni kell) Amennyiben a meccset nem tudjátok a kitűzött héten lejátszani akkor is meg kell állapodni egy későbbi mecsidőpontban. A többi játékossal a heti meccs menetrendet tartani kell, vagy későbbi időpontra de ki kell tűzni a meccs időpontját.</a:t>
          </a:r>
          <a:r>
            <a:rPr lang="hu-HU" sz="1200">
              <a:solidFill>
                <a:schemeClr val="tx1"/>
              </a:solidFill>
              <a:effectLst/>
              <a:latin typeface="+mn-lt"/>
              <a:ea typeface="+mn-ea"/>
              <a:cs typeface="+mn-cs"/>
            </a:rPr>
            <a:t> A</a:t>
          </a:r>
          <a:r>
            <a:rPr lang="hu-HU" sz="1200" baseline="0">
              <a:solidFill>
                <a:schemeClr val="tx1"/>
              </a:solidFill>
              <a:effectLst/>
              <a:latin typeface="+mn-lt"/>
              <a:ea typeface="+mn-ea"/>
              <a:cs typeface="+mn-cs"/>
            </a:rPr>
            <a:t> liga befejezése</a:t>
          </a:r>
          <a:r>
            <a:rPr lang="hu-HU" sz="1200">
              <a:solidFill>
                <a:schemeClr val="tx1"/>
              </a:solidFill>
              <a:effectLst/>
              <a:latin typeface="+mn-lt"/>
              <a:ea typeface="+mn-ea"/>
              <a:cs typeface="+mn-cs"/>
            </a:rPr>
            <a:t> után eredményhirdetés,díjátadó lesz. Az új nevezések és az eredmények</a:t>
          </a:r>
          <a:r>
            <a:rPr lang="hu-HU" sz="1200" baseline="0">
              <a:solidFill>
                <a:schemeClr val="tx1"/>
              </a:solidFill>
              <a:effectLst/>
              <a:latin typeface="+mn-lt"/>
              <a:ea typeface="+mn-ea"/>
              <a:cs typeface="+mn-cs"/>
            </a:rPr>
            <a:t> </a:t>
          </a:r>
          <a:r>
            <a:rPr lang="hu-HU" sz="1200">
              <a:solidFill>
                <a:schemeClr val="tx1"/>
              </a:solidFill>
              <a:effectLst/>
              <a:latin typeface="+mn-lt"/>
              <a:ea typeface="+mn-ea"/>
              <a:cs typeface="+mn-cs"/>
            </a:rPr>
            <a:t>után  folytatódik</a:t>
          </a:r>
          <a:r>
            <a:rPr lang="hu-HU" sz="1200" baseline="0">
              <a:solidFill>
                <a:schemeClr val="tx1"/>
              </a:solidFill>
              <a:effectLst/>
              <a:latin typeface="+mn-lt"/>
              <a:ea typeface="+mn-ea"/>
              <a:cs typeface="+mn-cs"/>
            </a:rPr>
            <a:t> tovább a következő sorozattal a Liga</a:t>
          </a:r>
          <a:r>
            <a:rPr lang="hu-HU" sz="1200">
              <a:solidFill>
                <a:schemeClr val="tx1"/>
              </a:solidFill>
              <a:effectLst/>
              <a:latin typeface="+mn-lt"/>
              <a:ea typeface="+mn-ea"/>
              <a:cs typeface="+mn-cs"/>
            </a:rPr>
            <a:t>. A liga végeredménye a helyezések alapján egy ranglistát hoz létre, melynek alapján lesz mindig a következő liga csoportbeosztása.</a:t>
          </a:r>
          <a:br>
            <a:rPr lang="hu-HU" sz="1200">
              <a:solidFill>
                <a:schemeClr val="tx1"/>
              </a:solidFill>
              <a:effectLst/>
              <a:latin typeface="+mn-lt"/>
              <a:ea typeface="+mn-ea"/>
              <a:cs typeface="+mn-cs"/>
            </a:rPr>
          </a:br>
          <a:r>
            <a:rPr lang="hu-HU" sz="1200">
              <a:solidFill>
                <a:schemeClr val="tx1"/>
              </a:solidFill>
              <a:effectLst/>
              <a:latin typeface="+mn-lt"/>
              <a:ea typeface="+mn-ea"/>
              <a:cs typeface="+mn-cs"/>
            </a:rPr>
            <a:t>A ligába érkező új játékosok esetében a rendezőség egyéni elbírálás alapján magasabb ligabesorolást biztosíthat a nagyobb tudás szinttel rendelkező játékosok részére(kihívásos mérkőzéssel). A sérülésből visszatérő játékosok, szintén besorolásra kerülnek a ranglistába mérkőzéssel vagy egyel alacsonyabb ligába mint ahonnan kiesett sérülés miatt. </a:t>
          </a:r>
          <a:r>
            <a:rPr lang="hu-HU" sz="1200" baseline="0">
              <a:solidFill>
                <a:schemeClr val="tx1"/>
              </a:solidFill>
              <a:effectLst/>
              <a:latin typeface="+mn-lt"/>
              <a:ea typeface="+mn-ea"/>
              <a:cs typeface="+mn-cs"/>
            </a:rPr>
            <a:t>A ranglista besorolástól függően változik a liga rangsor és így a liga 8 fős csoportbeosztása.</a:t>
          </a:r>
          <a:r>
            <a:rPr lang="hu-HU" sz="1200">
              <a:solidFill>
                <a:schemeClr val="tx1"/>
              </a:solidFill>
              <a:effectLst/>
              <a:latin typeface="+mn-lt"/>
              <a:ea typeface="+mn-ea"/>
              <a:cs typeface="+mn-cs"/>
            </a:rPr>
            <a:t> </a:t>
          </a:r>
          <a:r>
            <a:rPr lang="hu-HU" sz="1200">
              <a:effectLst/>
              <a:latin typeface="+mn-lt"/>
              <a:ea typeface="Calibri" panose="020F0502020204030204" pitchFamily="34" charset="0"/>
              <a:cs typeface="Times New Roman" panose="02020603050405020304" pitchFamily="18" charset="0"/>
            </a:rPr>
            <a:t>A</a:t>
          </a:r>
          <a:r>
            <a:rPr lang="hu-HU" sz="1200" baseline="0">
              <a:effectLst/>
              <a:latin typeface="+mn-lt"/>
              <a:ea typeface="Calibri" panose="020F0502020204030204" pitchFamily="34" charset="0"/>
              <a:cs typeface="Times New Roman" panose="02020603050405020304" pitchFamily="18" charset="0"/>
            </a:rPr>
            <a:t> ligában lejátszott meccsek</a:t>
          </a:r>
          <a:r>
            <a:rPr lang="hu-HU" sz="1200">
              <a:effectLst/>
              <a:latin typeface="+mn-lt"/>
              <a:ea typeface="Calibri" panose="020F0502020204030204" pitchFamily="34" charset="0"/>
              <a:cs typeface="Times New Roman" panose="02020603050405020304" pitchFamily="18" charset="0"/>
            </a:rPr>
            <a:t> eredményeit az erre a célra létrehozott Viber csoportban(Squash Liga Öntöde)kell közölni közvetlen a meccs után.</a:t>
          </a:r>
          <a:r>
            <a:rPr lang="hu-HU" sz="1200" i="1" u="sng">
              <a:effectLst/>
              <a:latin typeface="+mn-lt"/>
              <a:ea typeface="Calibri" panose="020F0502020204030204" pitchFamily="34" charset="0"/>
              <a:cs typeface="Times New Roman" panose="02020603050405020304" pitchFamily="18" charset="0"/>
            </a:rPr>
            <a:t>(győztes játékos kötelessége).</a:t>
          </a:r>
          <a:r>
            <a:rPr lang="hu-HU" sz="1200">
              <a:effectLst/>
              <a:latin typeface="+mn-lt"/>
              <a:ea typeface="Calibri" panose="020F0502020204030204" pitchFamily="34" charset="0"/>
              <a:cs typeface="Times New Roman" panose="02020603050405020304" pitchFamily="18" charset="0"/>
            </a:rPr>
            <a:t> Az játékosok elérhetőségét minden nevező e-mailben megkapja, valamint a Squash Liga viber csoportban is minden résztvevő elérhető lesz. </a:t>
          </a:r>
          <a:r>
            <a:rPr lang="hu-HU" sz="1200" u="sng">
              <a:effectLst/>
              <a:latin typeface="+mn-lt"/>
              <a:ea typeface="Calibri" panose="020F0502020204030204" pitchFamily="34" charset="0"/>
              <a:cs typeface="Times New Roman" panose="02020603050405020304" pitchFamily="18" charset="0"/>
            </a:rPr>
            <a:t>Meccsszervezésre a saját Liga csoportodat használd kérlek a Viberon.</a:t>
          </a:r>
          <a:r>
            <a:rPr lang="hu-HU" sz="1200">
              <a:effectLst/>
              <a:latin typeface="+mn-lt"/>
              <a:ea typeface="Calibri" panose="020F0502020204030204" pitchFamily="34" charset="0"/>
              <a:cs typeface="Times New Roman" panose="02020603050405020304" pitchFamily="18" charset="0"/>
            </a:rPr>
            <a:t> </a:t>
          </a:r>
          <a:r>
            <a:rPr lang="hu-HU" sz="1200" b="1">
              <a:effectLst/>
              <a:latin typeface="+mn-lt"/>
              <a:ea typeface="Calibri" panose="020F0502020204030204" pitchFamily="34" charset="0"/>
              <a:cs typeface="Times New Roman" panose="02020603050405020304" pitchFamily="18" charset="0"/>
            </a:rPr>
            <a:t>Fő csoportba csak az eredményeket, valamint a megbeszélt meccsidőpontokat közöljétek.</a:t>
          </a:r>
        </a:p>
        <a:p>
          <a:pPr algn="just"/>
          <a:r>
            <a:rPr lang="hu-HU" sz="1200">
              <a:solidFill>
                <a:schemeClr val="tx1"/>
              </a:solidFill>
              <a:effectLst/>
              <a:latin typeface="+mn-lt"/>
              <a:ea typeface="+mn-ea"/>
              <a:cs typeface="+mn-cs"/>
            </a:rPr>
            <a:t>A liga meccsre a WSF</a:t>
          </a:r>
          <a:r>
            <a:rPr lang="hu-HU" sz="1200" baseline="0">
              <a:solidFill>
                <a:schemeClr val="tx1"/>
              </a:solidFill>
              <a:effectLst/>
              <a:latin typeface="+mn-lt"/>
              <a:ea typeface="+mn-ea"/>
              <a:cs typeface="+mn-cs"/>
            </a:rPr>
            <a:t> szabályrendszere vonatkozik</a:t>
          </a:r>
          <a:r>
            <a:rPr lang="hu-HU" sz="1200">
              <a:solidFill>
                <a:schemeClr val="tx1"/>
              </a:solidFill>
              <a:effectLst/>
              <a:latin typeface="+mn-lt"/>
              <a:ea typeface="+mn-ea"/>
              <a:cs typeface="+mn-cs"/>
            </a:rPr>
            <a:t>, minden labdamenet pontot ér és 11 pontig tart egy szett. 10-10 után két pont különbséggel lehet nyerni. </a:t>
          </a:r>
          <a:r>
            <a:rPr lang="hu-HU" sz="1200" b="1">
              <a:solidFill>
                <a:srgbClr val="C00000"/>
              </a:solidFill>
              <a:effectLst/>
              <a:latin typeface="+mn-lt"/>
              <a:ea typeface="+mn-ea"/>
              <a:cs typeface="+mn-cs"/>
            </a:rPr>
            <a:t>A mérkőzés öt lejátszott szettből áll.</a:t>
          </a:r>
          <a:r>
            <a:rPr lang="hu-HU" sz="1200">
              <a:solidFill>
                <a:srgbClr val="C00000"/>
              </a:solidFill>
              <a:effectLst/>
              <a:latin typeface="+mn-lt"/>
              <a:ea typeface="+mn-ea"/>
              <a:cs typeface="+mn-cs"/>
            </a:rPr>
            <a:t> </a:t>
          </a:r>
          <a:r>
            <a:rPr lang="hu-HU" sz="1200">
              <a:effectLst/>
              <a:latin typeface="+mn-lt"/>
              <a:ea typeface="Calibri" panose="020F0502020204030204" pitchFamily="34" charset="0"/>
              <a:cs typeface="Times New Roman" panose="02020603050405020304" pitchFamily="18" charset="0"/>
            </a:rPr>
            <a:t>A szervező sem pályát, sem bírót, sem labdát nem biztosít! A mérkőzéseket a Öntöde sportcentrumban kell lejátszani! Az eredményeket hetente frissítjük és e-mailben küldjük, valamint a Viber csoportban is elérhető lesz,</a:t>
          </a:r>
          <a:r>
            <a:rPr lang="hu-HU" sz="1200" baseline="0">
              <a:effectLst/>
              <a:latin typeface="+mn-lt"/>
              <a:ea typeface="Calibri" panose="020F0502020204030204" pitchFamily="34" charset="0"/>
              <a:cs typeface="Times New Roman" panose="02020603050405020304" pitchFamily="18" charset="0"/>
            </a:rPr>
            <a:t> továbbá az Öntöde faliújságon is megtekinthető.</a:t>
          </a:r>
          <a:r>
            <a:rPr lang="hu-HU" sz="1200">
              <a:effectLst/>
              <a:latin typeface="+mn-lt"/>
              <a:ea typeface="Calibri" panose="020F0502020204030204" pitchFamily="34" charset="0"/>
              <a:cs typeface="Times New Roman" panose="02020603050405020304" pitchFamily="18" charset="0"/>
            </a:rPr>
            <a:t> </a:t>
          </a:r>
        </a:p>
        <a:p>
          <a:pPr algn="just"/>
          <a:r>
            <a:rPr lang="hu-HU" sz="1200" b="1">
              <a:solidFill>
                <a:schemeClr val="tx1"/>
              </a:solidFill>
              <a:effectLst/>
              <a:latin typeface="+mn-lt"/>
              <a:ea typeface="+mn-ea"/>
              <a:cs typeface="+mn-cs"/>
            </a:rPr>
            <a:t>Díjazás:</a:t>
          </a:r>
          <a:r>
            <a:rPr lang="hu-HU" sz="1200" b="1" baseline="0">
              <a:solidFill>
                <a:schemeClr val="tx1"/>
              </a:solidFill>
              <a:effectLst/>
              <a:latin typeface="+mn-lt"/>
              <a:ea typeface="+mn-ea"/>
              <a:cs typeface="+mn-cs"/>
            </a:rPr>
            <a:t> </a:t>
          </a:r>
          <a:r>
            <a:rPr lang="hu-HU" sz="1200" b="0" baseline="0">
              <a:solidFill>
                <a:schemeClr val="tx1"/>
              </a:solidFill>
              <a:effectLst/>
              <a:latin typeface="+mn-lt"/>
              <a:ea typeface="+mn-ea"/>
              <a:cs typeface="+mn-cs"/>
            </a:rPr>
            <a:t>A ligacsoportok 1 és 2. helyezetjei éremmel valamint egyéb meglepetés ajándékokkal lesznek díjazva.</a:t>
          </a:r>
          <a:endParaRPr lang="en-US" sz="1200" b="1">
            <a:solidFill>
              <a:schemeClr val="tx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hu-HU" sz="1200" b="1">
              <a:solidFill>
                <a:schemeClr val="tx1"/>
              </a:solidFill>
              <a:effectLst/>
              <a:latin typeface="+mn-lt"/>
              <a:ea typeface="+mn-ea"/>
              <a:cs typeface="+mn-cs"/>
            </a:rPr>
            <a:t>Pontozás: </a:t>
          </a:r>
          <a:r>
            <a:rPr lang="hu-HU" sz="1200" b="1" u="sng">
              <a:solidFill>
                <a:srgbClr val="002060"/>
              </a:solidFill>
              <a:effectLst/>
              <a:latin typeface="+mn-lt"/>
              <a:ea typeface="+mn-ea"/>
              <a:cs typeface="+mn-cs"/>
            </a:rPr>
            <a:t>Győzelemért 5 pont</a:t>
          </a:r>
          <a:r>
            <a:rPr lang="hu-HU" sz="1200">
              <a:solidFill>
                <a:schemeClr val="tx1"/>
              </a:solidFill>
              <a:effectLst/>
              <a:latin typeface="+mn-lt"/>
              <a:ea typeface="+mn-ea"/>
              <a:cs typeface="+mn-cs"/>
            </a:rPr>
            <a:t>,</a:t>
          </a:r>
          <a:r>
            <a:rPr lang="hu-HU" sz="1200" b="1">
              <a:solidFill>
                <a:schemeClr val="tx1"/>
              </a:solidFill>
              <a:effectLst/>
              <a:latin typeface="+mn-lt"/>
              <a:ea typeface="+mn-ea"/>
              <a:cs typeface="+mn-cs"/>
            </a:rPr>
            <a:t> </a:t>
          </a:r>
          <a:r>
            <a:rPr lang="hu-HU" sz="1200" b="1">
              <a:solidFill>
                <a:srgbClr val="C00000"/>
              </a:solidFill>
              <a:effectLst/>
              <a:latin typeface="+mn-lt"/>
              <a:ea typeface="+mn-ea"/>
              <a:cs typeface="+mn-cs"/>
            </a:rPr>
            <a:t>vereségért 2/3 szett aránynál 3 pont, 1/4 szett aránynál 2 pont, 0/5 szett aránynál 1 pont</a:t>
          </a:r>
          <a:r>
            <a:rPr lang="hu-HU" sz="1200">
              <a:solidFill>
                <a:schemeClr val="tx1"/>
              </a:solidFill>
              <a:effectLst/>
              <a:latin typeface="+mn-lt"/>
              <a:ea typeface="+mn-ea"/>
              <a:cs typeface="+mn-cs"/>
            </a:rPr>
            <a:t>, játék nélkül 0 pont jár.</a:t>
          </a:r>
          <a:r>
            <a:rPr lang="hu-HU" sz="1200" baseline="0">
              <a:solidFill>
                <a:schemeClr val="tx1"/>
              </a:solidFill>
              <a:effectLst/>
              <a:latin typeface="+mn-lt"/>
              <a:ea typeface="+mn-ea"/>
              <a:cs typeface="+mn-cs"/>
            </a:rPr>
            <a:t> </a:t>
          </a:r>
          <a:r>
            <a:rPr lang="hu-HU" sz="1200">
              <a:solidFill>
                <a:schemeClr val="tx1"/>
              </a:solidFill>
              <a:latin typeface="+mn-lt"/>
              <a:ea typeface="+mn-ea"/>
              <a:cs typeface="+mn-cs"/>
            </a:rPr>
            <a:t>Visszalépő</a:t>
          </a:r>
          <a:r>
            <a:rPr lang="hu-HU" sz="1200" baseline="0">
              <a:solidFill>
                <a:schemeClr val="tx1"/>
              </a:solidFill>
              <a:latin typeface="+mn-lt"/>
              <a:ea typeface="+mn-ea"/>
              <a:cs typeface="+mn-cs"/>
            </a:rPr>
            <a:t> játékos esetén a pontok elosztásáról a versenybizottság dönt a sportszerűség elve alapján. </a:t>
          </a:r>
          <a:r>
            <a:rPr lang="hu-HU" sz="1200">
              <a:solidFill>
                <a:schemeClr val="tx1"/>
              </a:solidFill>
              <a:latin typeface="+mn-lt"/>
              <a:ea typeface="+mn-ea"/>
              <a:cs typeface="+mn-cs"/>
            </a:rPr>
            <a:t>Ha valakivel többszöri próbálkozás ellenére sem sikerül időpontot egyeztetni,(és ennek nyoma van a viber csoportban) akkor a rendezőség egyedi elbírálása alapján is jár az 5 pont játék nélkül. Egyenlő pontszám esetén a megnyert mérkőzések száma, a jobb szett arány, megnyert szettek száma, vagy az egymás elleni eredmény dönt.(a megnyert szetteket, csak lejátszott mérkőzéseknél vesszük alapul, tehát ha az ellenfél nem tudta lejátszani a meccsét sérülés miatt, akkor két játékos</a:t>
          </a:r>
          <a:r>
            <a:rPr lang="hu-HU" sz="1200" baseline="0">
              <a:solidFill>
                <a:schemeClr val="tx1"/>
              </a:solidFill>
              <a:latin typeface="+mn-lt"/>
              <a:ea typeface="+mn-ea"/>
              <a:cs typeface="+mn-cs"/>
            </a:rPr>
            <a:t> eredményének összehasonlításánál a megnyert szetteket nem veszük számításba egyik félnél sem, de a pontokat természetesen igen)</a:t>
          </a:r>
          <a:br>
            <a:rPr lang="hu-HU" sz="1200">
              <a:solidFill>
                <a:schemeClr val="tx1"/>
              </a:solidFill>
              <a:latin typeface="+mn-lt"/>
              <a:ea typeface="+mn-ea"/>
              <a:cs typeface="+mn-cs"/>
            </a:rPr>
          </a:br>
          <a:r>
            <a:rPr lang="hu-HU" sz="1200" i="1">
              <a:solidFill>
                <a:schemeClr val="tx1"/>
              </a:solidFill>
              <a:latin typeface="+mn-lt"/>
              <a:ea typeface="+mn-ea"/>
              <a:cs typeface="+mn-cs"/>
            </a:rPr>
            <a:t>Fontos, hogy küzdj minden szettért,</a:t>
          </a:r>
          <a:r>
            <a:rPr lang="hu-HU" sz="1200" i="1" baseline="0">
              <a:solidFill>
                <a:schemeClr val="tx1"/>
              </a:solidFill>
              <a:latin typeface="+mn-lt"/>
              <a:ea typeface="+mn-ea"/>
              <a:cs typeface="+mn-cs"/>
            </a:rPr>
            <a:t> mert a végén sokszor számít, hogy hány szettet tudtál megnyerni és ezen múlhat a helyezésed a ligában.</a:t>
          </a:r>
          <a:endParaRPr lang="hu-HU" sz="1200" i="1">
            <a:solidFill>
              <a:schemeClr val="tx1"/>
            </a:solidFill>
            <a:latin typeface="+mn-lt"/>
            <a:ea typeface="+mn-ea"/>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r>
            <a:rPr lang="hu-HU" sz="1200" b="1">
              <a:solidFill>
                <a:schemeClr val="tx1"/>
              </a:solidFill>
              <a:latin typeface="+mn-lt"/>
              <a:ea typeface="+mn-ea"/>
              <a:cs typeface="+mn-cs"/>
            </a:rPr>
            <a:t>Labda: "A"</a:t>
          </a:r>
          <a:r>
            <a:rPr lang="hu-HU" sz="1200" b="1" baseline="0">
              <a:solidFill>
                <a:schemeClr val="tx1"/>
              </a:solidFill>
              <a:latin typeface="+mn-lt"/>
              <a:ea typeface="+mn-ea"/>
              <a:cs typeface="+mn-cs"/>
            </a:rPr>
            <a:t> </a:t>
          </a:r>
          <a:r>
            <a:rPr lang="hu-HU" sz="1200" b="1">
              <a:solidFill>
                <a:schemeClr val="tx1"/>
              </a:solidFill>
              <a:latin typeface="+mn-lt"/>
              <a:ea typeface="+mn-ea"/>
              <a:cs typeface="+mn-cs"/>
            </a:rPr>
            <a:t>ligában 2</a:t>
          </a:r>
          <a:r>
            <a:rPr lang="hu-HU" sz="1200" b="1" baseline="0">
              <a:solidFill>
                <a:schemeClr val="tx1"/>
              </a:solidFill>
              <a:latin typeface="+mn-lt"/>
              <a:ea typeface="+mn-ea"/>
              <a:cs typeface="+mn-cs"/>
            </a:rPr>
            <a:t> sárga pöttyös labda az alap! </a:t>
          </a:r>
          <a:r>
            <a:rPr lang="hu-HU" sz="1200" baseline="0">
              <a:solidFill>
                <a:schemeClr val="tx1"/>
              </a:solidFill>
              <a:latin typeface="+mn-lt"/>
              <a:ea typeface="+mn-ea"/>
              <a:cs typeface="+mn-cs"/>
            </a:rPr>
            <a:t>Ettől eltérni kétféleképpen lehet: </a:t>
          </a:r>
          <a:r>
            <a:rPr lang="hu-HU" sz="1200" b="1" baseline="0">
              <a:solidFill>
                <a:schemeClr val="tx1"/>
              </a:solidFill>
              <a:latin typeface="+mn-lt"/>
              <a:ea typeface="+mn-ea"/>
              <a:cs typeface="+mn-cs"/>
            </a:rPr>
            <a:t>1. </a:t>
          </a:r>
          <a:r>
            <a:rPr lang="hu-HU" sz="1200" baseline="0">
              <a:solidFill>
                <a:schemeClr val="tx1"/>
              </a:solidFill>
              <a:latin typeface="+mn-lt"/>
              <a:ea typeface="+mn-ea"/>
              <a:cs typeface="+mn-cs"/>
            </a:rPr>
            <a:t>Amennyiben </a:t>
          </a:r>
          <a:r>
            <a:rPr lang="hu-HU" sz="1200" u="sng" baseline="0">
              <a:solidFill>
                <a:schemeClr val="tx1"/>
              </a:solidFill>
              <a:latin typeface="+mn-lt"/>
              <a:ea typeface="+mn-ea"/>
              <a:cs typeface="+mn-cs"/>
            </a:rPr>
            <a:t>mindkét játékos beleegyezik </a:t>
          </a:r>
          <a:r>
            <a:rPr lang="hu-HU" sz="1200" baseline="0">
              <a:solidFill>
                <a:schemeClr val="tx1"/>
              </a:solidFill>
              <a:latin typeface="+mn-lt"/>
              <a:ea typeface="+mn-ea"/>
              <a:cs typeface="+mn-cs"/>
            </a:rPr>
            <a:t>úgy használható a piros pöttyös labda is.    </a:t>
          </a:r>
          <a:r>
            <a:rPr lang="hu-HU" sz="1200" b="1" baseline="0">
              <a:solidFill>
                <a:schemeClr val="tx1"/>
              </a:solidFill>
              <a:latin typeface="+mn-lt"/>
              <a:ea typeface="+mn-ea"/>
              <a:cs typeface="+mn-cs"/>
            </a:rPr>
            <a:t>2. </a:t>
          </a:r>
          <a:r>
            <a:rPr lang="hu-HU" sz="1200" baseline="0">
              <a:solidFill>
                <a:schemeClr val="tx1"/>
              </a:solidFill>
              <a:latin typeface="+mn-lt"/>
              <a:ea typeface="+mn-ea"/>
              <a:cs typeface="+mn-cs"/>
            </a:rPr>
            <a:t>Az +50 feletti játékosok kérhetik a piros labdát meccslabdának. </a:t>
          </a:r>
        </a:p>
        <a:p>
          <a:pPr marL="0" marR="0" indent="0" algn="just" defTabSz="914400" eaLnBrk="1" fontAlgn="auto" latinLnBrk="0" hangingPunct="1">
            <a:lnSpc>
              <a:spcPct val="100000"/>
            </a:lnSpc>
            <a:spcBef>
              <a:spcPts val="0"/>
            </a:spcBef>
            <a:spcAft>
              <a:spcPts val="0"/>
            </a:spcAft>
            <a:buClrTx/>
            <a:buSzTx/>
            <a:buFontTx/>
            <a:buNone/>
            <a:tabLst/>
            <a:defRPr/>
          </a:pPr>
          <a:r>
            <a:rPr lang="hu-HU" sz="1200" b="1" baseline="0">
              <a:solidFill>
                <a:schemeClr val="tx1"/>
              </a:solidFill>
              <a:latin typeface="+mn-lt"/>
              <a:ea typeface="+mn-ea"/>
              <a:cs typeface="+mn-cs"/>
            </a:rPr>
            <a:t>B - C - D - E  ligában</a:t>
          </a:r>
          <a:r>
            <a:rPr lang="hu-HU" sz="1200" baseline="0">
              <a:solidFill>
                <a:schemeClr val="tx1"/>
              </a:solidFill>
              <a:latin typeface="+mn-lt"/>
              <a:ea typeface="+mn-ea"/>
              <a:cs typeface="+mn-cs"/>
            </a:rPr>
            <a:t> az alap labda az </a:t>
          </a:r>
          <a:r>
            <a:rPr lang="hu-HU" sz="1200" b="1" baseline="0">
              <a:solidFill>
                <a:schemeClr val="tx1"/>
              </a:solidFill>
              <a:latin typeface="+mn-lt"/>
              <a:ea typeface="+mn-ea"/>
              <a:cs typeface="+mn-cs"/>
            </a:rPr>
            <a:t>1 piros pöttyös</a:t>
          </a:r>
          <a:r>
            <a:rPr lang="hu-HU" sz="1200" baseline="0">
              <a:solidFill>
                <a:schemeClr val="tx1"/>
              </a:solidFill>
              <a:latin typeface="+mn-lt"/>
              <a:ea typeface="+mn-ea"/>
              <a:cs typeface="+mn-cs"/>
            </a:rPr>
            <a:t>. </a:t>
          </a:r>
          <a:r>
            <a:rPr lang="hu-HU" sz="1100" baseline="0">
              <a:solidFill>
                <a:schemeClr val="tx1"/>
              </a:solidFill>
              <a:effectLst/>
              <a:latin typeface="+mn-lt"/>
              <a:ea typeface="+mn-ea"/>
              <a:cs typeface="+mn-cs"/>
            </a:rPr>
            <a:t>Amennyiben </a:t>
          </a:r>
          <a:r>
            <a:rPr lang="hu-HU" sz="1100" u="sng" baseline="0">
              <a:solidFill>
                <a:schemeClr val="tx1"/>
              </a:solidFill>
              <a:effectLst/>
              <a:latin typeface="+mn-lt"/>
              <a:ea typeface="+mn-ea"/>
              <a:cs typeface="+mn-cs"/>
            </a:rPr>
            <a:t>mindkét játékos beleegyezik </a:t>
          </a:r>
          <a:r>
            <a:rPr lang="hu-HU" sz="1100" baseline="0">
              <a:solidFill>
                <a:schemeClr val="tx1"/>
              </a:solidFill>
              <a:effectLst/>
              <a:latin typeface="+mn-lt"/>
              <a:ea typeface="+mn-ea"/>
              <a:cs typeface="+mn-cs"/>
            </a:rPr>
            <a:t>úgy használható bármelyik típus.</a:t>
          </a:r>
          <a:endParaRPr lang="hu-HU" sz="1200" baseline="0">
            <a:solidFill>
              <a:schemeClr val="tx1"/>
            </a:solidFill>
            <a:latin typeface="+mn-lt"/>
            <a:ea typeface="+mn-ea"/>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endParaRPr lang="hu-HU" sz="1200" baseline="0">
            <a:solidFill>
              <a:schemeClr val="tx1"/>
            </a:solidFill>
            <a:latin typeface="+mn-lt"/>
            <a:ea typeface="+mn-ea"/>
            <a:cs typeface="+mn-cs"/>
          </a:endParaRPr>
        </a:p>
        <a:p>
          <a:r>
            <a:rPr lang="hu-HU" sz="1200" b="1" u="sng" baseline="0">
              <a:solidFill>
                <a:schemeClr val="tx1"/>
              </a:solidFill>
              <a:latin typeface="+mn-lt"/>
              <a:ea typeface="+mn-ea"/>
              <a:cs typeface="+mn-cs"/>
            </a:rPr>
            <a:t>Meccsszervezés: </a:t>
          </a:r>
          <a:r>
            <a:rPr lang="hu-HU" sz="1200" b="0" u="none" baseline="0">
              <a:solidFill>
                <a:schemeClr val="tx1"/>
              </a:solidFill>
              <a:latin typeface="+mn-lt"/>
              <a:ea typeface="+mn-ea"/>
              <a:cs typeface="+mn-cs"/>
            </a:rPr>
            <a:t>A 14. ligától kezdődően egy fix sorsolási rend van. A liga 10 hétig tart, de mindösszesen 7 meccset kell játszani. Az első hét hétre ki vannak osztva fixen mindenkinek, hogy az adott héten kivel kell meccset játszani. Amennyiben nem jó az adott hét játékra, akkor is meg kell állapodni egy fix elhalasztott időpontba. A sorsolásban szereplő heti játékossal mindig kötelező az adott héten megállapodni a meccs időpontjáról, vagy elhalasztásáról más időpontra.</a:t>
          </a:r>
          <a:br>
            <a:rPr lang="hu-HU" sz="1200" baseline="0">
              <a:solidFill>
                <a:schemeClr val="tx1"/>
              </a:solidFill>
              <a:latin typeface="+mn-lt"/>
              <a:ea typeface="+mn-ea"/>
              <a:cs typeface="+mn-cs"/>
            </a:rPr>
          </a:br>
          <a:r>
            <a:rPr lang="hu-HU" sz="1200" b="1" baseline="0">
              <a:solidFill>
                <a:schemeClr val="tx1"/>
              </a:solidFill>
              <a:latin typeface="+mn-lt"/>
              <a:ea typeface="+mn-ea"/>
              <a:cs typeface="+mn-cs"/>
            </a:rPr>
            <a:t>Sérült játékos</a:t>
          </a:r>
          <a:r>
            <a:rPr lang="hu-HU" sz="1200" baseline="0">
              <a:solidFill>
                <a:schemeClr val="tx1"/>
              </a:solidFill>
              <a:latin typeface="+mn-lt"/>
              <a:ea typeface="+mn-ea"/>
              <a:cs typeface="+mn-cs"/>
            </a:rPr>
            <a:t>nak az számít, aki a sérülés miatt pihenteti a játékot, amennyiben már játékra képes úgy a liga aktív résztvevője és a meccs időpontját nem tologathatja. A többi játékosnak nem kötelessége megvárni, hogy ismét csúcsformába kerüljön a játékos, rövid határidővel a meccs időpontját ki kell tűzni a sorsolás alapján lévő sorrendben.</a:t>
          </a:r>
          <a:br>
            <a:rPr lang="hu-HU" sz="1200" baseline="0">
              <a:solidFill>
                <a:schemeClr val="tx1"/>
              </a:solidFill>
              <a:latin typeface="+mn-lt"/>
              <a:ea typeface="+mn-ea"/>
              <a:cs typeface="+mn-cs"/>
            </a:rPr>
          </a:br>
          <a:r>
            <a:rPr lang="hu-HU" sz="1200" baseline="0">
              <a:solidFill>
                <a:schemeClr val="tx1"/>
              </a:solidFill>
              <a:latin typeface="+mn-lt"/>
              <a:ea typeface="+mn-ea"/>
              <a:cs typeface="+mn-cs"/>
            </a:rPr>
            <a:t>Az esetleges nem szabályzott kérdésekben a szervezőnek egyéni elbírálási joga van a sportszerűséget szem előtt tartva.</a:t>
          </a:r>
          <a:br>
            <a:rPr lang="hu-HU" sz="1200" baseline="0">
              <a:solidFill>
                <a:schemeClr val="tx1"/>
              </a:solidFill>
              <a:latin typeface="+mn-lt"/>
              <a:ea typeface="+mn-ea"/>
              <a:cs typeface="+mn-cs"/>
            </a:rPr>
          </a:br>
          <a:r>
            <a:rPr lang="hu-HU" sz="1100" b="1" i="0" u="sng">
              <a:solidFill>
                <a:srgbClr val="FF0000"/>
              </a:solidFill>
              <a:effectLst/>
              <a:latin typeface="+mn-lt"/>
              <a:ea typeface="+mn-ea"/>
              <a:cs typeface="+mn-cs"/>
            </a:rPr>
            <a:t>Egyéb fontos dolog!</a:t>
          </a:r>
          <a:br>
            <a:rPr lang="hu-HU" sz="1100" b="0" i="0">
              <a:solidFill>
                <a:schemeClr val="tx1"/>
              </a:solidFill>
              <a:effectLst/>
              <a:latin typeface="+mn-lt"/>
              <a:ea typeface="+mn-ea"/>
              <a:cs typeface="+mn-cs"/>
            </a:rPr>
          </a:br>
          <a:r>
            <a:rPr lang="hu-HU" sz="1100" b="1" i="0" u="sng">
              <a:solidFill>
                <a:schemeClr val="tx1"/>
              </a:solidFill>
              <a:effectLst/>
              <a:latin typeface="+mn-lt"/>
              <a:ea typeface="+mn-ea"/>
              <a:cs typeface="+mn-cs"/>
            </a:rPr>
            <a:t>Meccs bíráskodás, vagy bíró nélküli játék, pályán való játékszabályok:</a:t>
          </a:r>
          <a:br>
            <a:rPr lang="hu-HU" sz="1100" b="0" i="0">
              <a:solidFill>
                <a:schemeClr val="tx1"/>
              </a:solidFill>
              <a:effectLst/>
              <a:latin typeface="+mn-lt"/>
              <a:ea typeface="+mn-ea"/>
              <a:cs typeface="+mn-cs"/>
            </a:rPr>
          </a:br>
          <a:r>
            <a:rPr lang="hu-HU" sz="1100" b="0" i="0">
              <a:solidFill>
                <a:schemeClr val="tx1"/>
              </a:solidFill>
              <a:effectLst/>
              <a:latin typeface="+mn-lt"/>
              <a:ea typeface="+mn-ea"/>
              <a:cs typeface="+mn-cs"/>
            </a:rPr>
            <a:t>1. A pályán a folyamatban lévő játék közben nincs beszéd, megjegyzés és semmi zavaró beszólás ami a másik játékost megzavarhatja.(ilyen helyzetben figyelmeztessük</a:t>
          </a:r>
          <a:r>
            <a:rPr lang="hu-HU" sz="1100" b="0" i="0" baseline="0">
              <a:solidFill>
                <a:schemeClr val="tx1"/>
              </a:solidFill>
              <a:effectLst/>
              <a:latin typeface="+mn-lt"/>
              <a:ea typeface="+mn-ea"/>
              <a:cs typeface="+mn-cs"/>
            </a:rPr>
            <a:t> játékostársunk)</a:t>
          </a:r>
          <a:br>
            <a:rPr lang="hu-HU" sz="1100" b="0" i="0">
              <a:solidFill>
                <a:schemeClr val="tx1"/>
              </a:solidFill>
              <a:effectLst/>
              <a:latin typeface="+mn-lt"/>
              <a:ea typeface="+mn-ea"/>
              <a:cs typeface="+mn-cs"/>
            </a:rPr>
          </a:br>
          <a:r>
            <a:rPr lang="hu-HU" sz="1100" b="0" i="0">
              <a:solidFill>
                <a:schemeClr val="tx1"/>
              </a:solidFill>
              <a:effectLst/>
              <a:latin typeface="+mn-lt"/>
              <a:ea typeface="+mn-ea"/>
              <a:cs typeface="+mn-cs"/>
            </a:rPr>
            <a:t>2. Amikor vége a pontnak egy adott szituációt akkor lehet megbeszélni röviden. Ez nem azt jelenti, hogy a saját véleményedet megmagyarázva rá akarod erőltetni a másikra. Először jelzed, hogy az adott szituáció szerinted stroke, az ellenfeled elsmeri, akkor stroke. Ha az ellenfeled máshogy gondolja, mert ő máshogy látta vagy érezte, akkor Let! Mivel ketten vagytok a pályán, két vélemény ütközik. Vitára nincs lehetőség, LET-tel megy tovább a játék! Teljesen mind1, hogy szerinted egyértelmű stroke, ha nincs bíró a pályán kívül, akkor a két vélemény értéke 50-50%. És így akkor LET-tel folytatódik a játék. A pályán további megjegyzéseknek, mondókáknak, véleménynek nincs helye. Meg kell nyerni a meccset kétes szituációk nélkül. Majd a következő meccsre fel kell kérni valakit bíráskodni. </a:t>
          </a:r>
        </a:p>
        <a:p>
          <a:r>
            <a:rPr lang="hu-HU" sz="1100" b="0" i="0">
              <a:solidFill>
                <a:schemeClr val="tx1"/>
              </a:solidFill>
              <a:effectLst/>
              <a:latin typeface="+mn-lt"/>
              <a:ea typeface="+mn-ea"/>
              <a:cs typeface="+mn-cs"/>
            </a:rPr>
            <a:t>3. Vannak esetek</a:t>
          </a:r>
          <a:r>
            <a:rPr lang="hu-HU" sz="1100" b="0" i="0" baseline="0">
              <a:solidFill>
                <a:schemeClr val="tx1"/>
              </a:solidFill>
              <a:effectLst/>
              <a:latin typeface="+mn-lt"/>
              <a:ea typeface="+mn-ea"/>
              <a:cs typeface="+mn-cs"/>
            </a:rPr>
            <a:t> amikor kérdéses 1 vagy 2 pattanás volt mikor megütötted a labdát. Ha nincs külső ember aki esetleg látta és szóvá teszi az egyik játékos, akkor szintén LET-tel megy tovább a játék.</a:t>
          </a:r>
          <a:endParaRPr lang="hu-HU" sz="1100" b="0" i="0">
            <a:solidFill>
              <a:schemeClr val="tx1"/>
            </a:solidFill>
            <a:effectLst/>
            <a:latin typeface="+mn-lt"/>
            <a:ea typeface="+mn-ea"/>
            <a:cs typeface="+mn-cs"/>
          </a:endParaRPr>
        </a:p>
        <a:p>
          <a:r>
            <a:rPr lang="hu-HU" sz="1100" b="0" i="0">
              <a:solidFill>
                <a:schemeClr val="tx1"/>
              </a:solidFill>
              <a:effectLst/>
              <a:latin typeface="+mn-lt"/>
              <a:ea typeface="+mn-ea"/>
              <a:cs typeface="+mn-cs"/>
            </a:rPr>
            <a:t>4. A meccsek befejeztével bármilyen vitás szitu is alakult ki, a pályáról csak a megfelelő tiszteletadás, kézfogással lehet távozni. A pályán vitának helye nincs! Aki ennek nem hajlandó eleget tenni, úgy a meccset szabályszegés miatt elvesztette. Ha úgy érzed, hogy több szituációban is stroke lett volna és nem kaptad meg, legközelebb bíróval kell játszani a meccset,</a:t>
          </a:r>
          <a:r>
            <a:rPr lang="hu-HU" sz="1100" b="0" i="0" baseline="0">
              <a:solidFill>
                <a:schemeClr val="tx1"/>
              </a:solidFill>
              <a:effectLst/>
              <a:latin typeface="+mn-lt"/>
              <a:ea typeface="+mn-ea"/>
              <a:cs typeface="+mn-cs"/>
            </a:rPr>
            <a:t> viszont ez alkalommal el kell fogadni a LET-döntéseket.</a:t>
          </a:r>
          <a:r>
            <a:rPr lang="hu-HU" sz="1100" b="0" i="0">
              <a:solidFill>
                <a:schemeClr val="tx1"/>
              </a:solidFill>
              <a:effectLst/>
              <a:latin typeface="+mn-lt"/>
              <a:ea typeface="+mn-ea"/>
              <a:cs typeface="+mn-cs"/>
            </a:rPr>
            <a:t> Mindenki tartsa magában a meccs végén a szitukat nyugodtan, mert nem kell megmagyarázni a saját igazát, hiába is volt esetleg tényleg igaza, mert nem fog változni a meccs végeredménye. Következő alkalommal fel kell kérni bírót.</a:t>
          </a:r>
          <a:br>
            <a:rPr lang="hu-HU" sz="1100" b="0" i="0">
              <a:solidFill>
                <a:schemeClr val="tx1"/>
              </a:solidFill>
              <a:effectLst/>
              <a:latin typeface="+mn-lt"/>
              <a:ea typeface="+mn-ea"/>
              <a:cs typeface="+mn-cs"/>
            </a:rPr>
          </a:br>
          <a:r>
            <a:rPr lang="hu-HU" sz="1100" b="0" i="0">
              <a:solidFill>
                <a:schemeClr val="tx1"/>
              </a:solidFill>
              <a:effectLst/>
              <a:latin typeface="+mn-lt"/>
              <a:ea typeface="+mn-ea"/>
              <a:cs typeface="+mn-cs"/>
            </a:rPr>
            <a:t>4. Bíró felkérése:  amennyiben a nézők között van olyan ember aki bevállalja a bíráskodást és a meccs elején mindkét játékos elfogadta, onnantól a bíró véleménye dönt mint külső szemlélő. Ha van olyan információ amit a bíró nem látott, például, az ütők összeérése, azt lehet közölni, de mivel nincs kamera, visszanézési lehetőség, így a bíró kívülről történő szemszögéből meghozott ítélet az érvényes. Egyik játékos se akarja meggyőzni a bírót a saját meglátásáról, vagy hogy ő jobban tudja és a bíró pedig rossz döntést hozott. </a:t>
          </a:r>
          <a:r>
            <a:rPr lang="hu-HU" sz="1100" b="1" i="0" u="sng">
              <a:solidFill>
                <a:schemeClr val="tx1"/>
              </a:solidFill>
              <a:effectLst/>
              <a:latin typeface="+mn-lt"/>
              <a:ea typeface="+mn-ea"/>
              <a:cs typeface="+mn-cs"/>
            </a:rPr>
            <a:t>A bíró hibázhat, de akkor is az van amit Ő ítélt!</a:t>
          </a:r>
          <a:r>
            <a:rPr lang="hu-HU" sz="1100" b="1" i="0" u="sng" baseline="0">
              <a:solidFill>
                <a:schemeClr val="tx1"/>
              </a:solidFill>
              <a:effectLst/>
              <a:latin typeface="+mn-lt"/>
              <a:ea typeface="+mn-ea"/>
              <a:cs typeface="+mn-cs"/>
            </a:rPr>
            <a:t> </a:t>
          </a:r>
          <a:r>
            <a:rPr lang="hu-HU" sz="1100" b="0" i="0">
              <a:solidFill>
                <a:schemeClr val="tx1"/>
              </a:solidFill>
              <a:effectLst/>
              <a:latin typeface="+mn-lt"/>
              <a:ea typeface="+mn-ea"/>
              <a:cs typeface="+mn-cs"/>
            </a:rPr>
            <a:t>Ezt mindenki tanulja meg elfogadni és ne kezdjen el vitázni. Hiába van esetlegesen igaza a játékosnak, itt nincs videó visszanézési lehetőség, tehát az van egy szituáció eldöntésekor amit a külső szemlélő, bíró látott.</a:t>
          </a:r>
          <a:br>
            <a:rPr lang="hu-HU" sz="1100" b="0" i="0">
              <a:solidFill>
                <a:schemeClr val="tx1"/>
              </a:solidFill>
              <a:effectLst/>
              <a:latin typeface="+mn-lt"/>
              <a:ea typeface="+mn-ea"/>
              <a:cs typeface="+mn-cs"/>
            </a:rPr>
          </a:br>
          <a:r>
            <a:rPr lang="hu-HU" sz="1100" b="0" i="0">
              <a:solidFill>
                <a:schemeClr val="tx1"/>
              </a:solidFill>
              <a:effectLst/>
              <a:latin typeface="+mn-lt"/>
              <a:ea typeface="+mn-ea"/>
              <a:cs typeface="+mn-cs"/>
            </a:rPr>
            <a:t>Mivel ez egy amatőr liga, így kérem mindenki fogadja el ezeket a</a:t>
          </a:r>
          <a:r>
            <a:rPr lang="hu-HU" sz="1100" b="0" i="0" baseline="0">
              <a:solidFill>
                <a:schemeClr val="tx1"/>
              </a:solidFill>
              <a:effectLst/>
              <a:latin typeface="+mn-lt"/>
              <a:ea typeface="+mn-ea"/>
              <a:cs typeface="+mn-cs"/>
            </a:rPr>
            <a:t> ligához tartozó szabályokat</a:t>
          </a:r>
          <a:r>
            <a:rPr lang="hu-HU" sz="1100" b="0" i="0">
              <a:solidFill>
                <a:schemeClr val="tx1"/>
              </a:solidFill>
              <a:effectLst/>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tabLst/>
            <a:defRPr/>
          </a:pPr>
          <a:br>
            <a:rPr lang="hu-HU" sz="1200" baseline="0">
              <a:solidFill>
                <a:schemeClr val="tx1"/>
              </a:solidFill>
              <a:latin typeface="+mn-lt"/>
              <a:ea typeface="+mn-ea"/>
              <a:cs typeface="+mn-cs"/>
            </a:rPr>
          </a:br>
          <a:r>
            <a:rPr lang="hu-HU" sz="1200">
              <a:solidFill>
                <a:schemeClr val="tx1"/>
              </a:solidFill>
              <a:effectLst/>
              <a:latin typeface="+mn-lt"/>
              <a:ea typeface="+mn-ea"/>
              <a:cs typeface="+mn-cs"/>
            </a:rPr>
            <a:t> </a:t>
          </a:r>
          <a:endParaRPr lang="en-US" sz="1200">
            <a:solidFill>
              <a:schemeClr val="tx1"/>
            </a:solidFill>
            <a:effectLst/>
            <a:latin typeface="+mn-lt"/>
            <a:ea typeface="+mn-ea"/>
            <a:cs typeface="+mn-cs"/>
          </a:endParaRPr>
        </a:p>
        <a:p>
          <a:pPr algn="ctr"/>
          <a:r>
            <a:rPr lang="hu-HU" sz="1200">
              <a:solidFill>
                <a:schemeClr val="tx1"/>
              </a:solidFill>
              <a:effectLst/>
              <a:latin typeface="+mn-lt"/>
              <a:ea typeface="+mn-ea"/>
              <a:cs typeface="+mn-cs"/>
            </a:rPr>
            <a:t>További kérdésekkel </a:t>
          </a:r>
          <a:r>
            <a:rPr lang="hu-HU" sz="1200" baseline="0">
              <a:solidFill>
                <a:schemeClr val="tx1"/>
              </a:solidFill>
              <a:effectLst/>
              <a:latin typeface="+mn-lt"/>
              <a:ea typeface="+mn-ea"/>
              <a:cs typeface="+mn-cs"/>
            </a:rPr>
            <a:t>keressetek bátran e-mailben(</a:t>
          </a:r>
          <a:r>
            <a:rPr lang="hu-HU" sz="1100">
              <a:solidFill>
                <a:schemeClr val="tx1"/>
              </a:solidFill>
              <a:effectLst/>
              <a:latin typeface="+mn-lt"/>
              <a:ea typeface="+mn-ea"/>
              <a:cs typeface="+mn-cs"/>
            </a:rPr>
            <a:t>ontodesquashliga@gmail.com)</a:t>
          </a:r>
          <a:r>
            <a:rPr lang="hu-HU" sz="1200" baseline="0">
              <a:solidFill>
                <a:schemeClr val="tx1"/>
              </a:solidFill>
              <a:effectLst/>
              <a:latin typeface="+mn-lt"/>
              <a:ea typeface="+mn-ea"/>
              <a:cs typeface="+mn-cs"/>
            </a:rPr>
            <a:t>, vagy telefonon</a:t>
          </a:r>
          <a:r>
            <a:rPr lang="hu-HU" sz="1200">
              <a:solidFill>
                <a:schemeClr val="tx1"/>
              </a:solidFill>
              <a:effectLst/>
              <a:latin typeface="+mn-lt"/>
              <a:ea typeface="+mn-ea"/>
              <a:cs typeface="+mn-cs"/>
            </a:rPr>
            <a:t> (70/3174424)</a:t>
          </a:r>
          <a:br>
            <a:rPr lang="hu-HU" sz="1200">
              <a:solidFill>
                <a:schemeClr val="tx1"/>
              </a:solidFill>
              <a:effectLst/>
              <a:latin typeface="+mn-lt"/>
              <a:ea typeface="+mn-ea"/>
              <a:cs typeface="+mn-cs"/>
            </a:rPr>
          </a:br>
          <a:r>
            <a:rPr lang="hu-HU" sz="1200">
              <a:solidFill>
                <a:schemeClr val="tx1"/>
              </a:solidFill>
              <a:effectLst/>
              <a:latin typeface="+mn-lt"/>
              <a:ea typeface="+mn-ea"/>
              <a:cs typeface="+mn-cs"/>
            </a:rPr>
            <a:t>Jó játékot Mindenkinek!</a:t>
          </a:r>
          <a:br>
            <a:rPr lang="hu-HU" sz="1200">
              <a:solidFill>
                <a:schemeClr val="tx1"/>
              </a:solidFill>
              <a:effectLst/>
              <a:latin typeface="+mn-lt"/>
              <a:ea typeface="+mn-ea"/>
              <a:cs typeface="+mn-cs"/>
            </a:rPr>
          </a:br>
          <a:r>
            <a:rPr lang="hu-HU" sz="1200">
              <a:solidFill>
                <a:schemeClr val="tx1"/>
              </a:solidFill>
              <a:effectLst/>
              <a:latin typeface="+mn-lt"/>
              <a:ea typeface="+mn-ea"/>
              <a:cs typeface="+mn-cs"/>
            </a:rPr>
            <a:t>Üdv:</a:t>
          </a:r>
          <a:r>
            <a:rPr lang="hu-HU" sz="1200" baseline="0">
              <a:solidFill>
                <a:schemeClr val="tx1"/>
              </a:solidFill>
              <a:effectLst/>
              <a:latin typeface="+mn-lt"/>
              <a:ea typeface="+mn-ea"/>
              <a:cs typeface="+mn-cs"/>
            </a:rPr>
            <a:t>  Weisz György - Georgi</a:t>
          </a:r>
          <a:br>
            <a:rPr lang="hu-HU" sz="1200">
              <a:solidFill>
                <a:schemeClr val="tx1"/>
              </a:solidFill>
              <a:effectLst/>
              <a:latin typeface="+mn-lt"/>
              <a:ea typeface="+mn-ea"/>
              <a:cs typeface="+mn-cs"/>
            </a:rPr>
          </a:br>
          <a:endParaRPr lang="en-US" sz="1200" b="1">
            <a:solidFill>
              <a:schemeClr val="tx1"/>
            </a:solidFill>
            <a:effectLst/>
            <a:latin typeface="+mn-lt"/>
            <a:ea typeface="+mn-ea"/>
            <a:cs typeface="+mn-cs"/>
          </a:endParaRPr>
        </a:p>
        <a:p>
          <a:pPr algn="ct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601980</xdr:colOff>
      <xdr:row>11</xdr:row>
      <xdr:rowOff>144780</xdr:rowOff>
    </xdr:from>
    <xdr:to>
      <xdr:col>17</xdr:col>
      <xdr:colOff>563880</xdr:colOff>
      <xdr:row>22</xdr:row>
      <xdr:rowOff>167640</xdr:rowOff>
    </xdr:to>
    <xdr:sp macro="" textlink="">
      <xdr:nvSpPr>
        <xdr:cNvPr id="2" name="Szövegdoboz 1">
          <a:extLst>
            <a:ext uri="{FF2B5EF4-FFF2-40B4-BE49-F238E27FC236}">
              <a16:creationId xmlns:a16="http://schemas.microsoft.com/office/drawing/2014/main" id="{66F02C00-EFC9-D3C6-1A39-0E37035B9850}"/>
            </a:ext>
          </a:extLst>
        </xdr:cNvPr>
        <xdr:cNvSpPr txBox="1"/>
      </xdr:nvSpPr>
      <xdr:spPr>
        <a:xfrm>
          <a:off x="6385560" y="3116580"/>
          <a:ext cx="5448300" cy="2034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100" b="1" u="sng"/>
            <a:t>Szabály: </a:t>
          </a:r>
          <a:r>
            <a:rPr lang="hu-HU" sz="1100"/>
            <a:t>A Piramis bajnokság kihívásos rendszerben működik. A kihívó játékos a piramis</a:t>
          </a:r>
          <a:r>
            <a:rPr lang="hu-HU" sz="1100" baseline="0"/>
            <a:t> tabellán a szám szerint következő játékost, vagy a tabella rajz alapján azt a kisebb számmal rendelkező játékost hívhatja ki, akinek a "négyzetét" érinti a tabellán. Példa: a 8.-as játékos kihívhatja a 7-es játékost, vagy a 4-est, vagy az 5-ös játékost. A kihívást a Viber csoportban kell kommunikálni. Amennyiben a kihívott játékos 2 héten belül nem áll ki a mérkőzésre, a tabellán helyet cserélnek. A mérközés utána győztes játékos kerül a jobb pozicióba.</a:t>
          </a:r>
          <a:br>
            <a:rPr lang="hu-HU" sz="1100" baseline="0"/>
          </a:br>
          <a:r>
            <a:rPr lang="hu-HU" sz="1100" baseline="0"/>
            <a:t>Jelentkezés, részvétel ingyenes. Bármikor lehet csatlakozni a "Piramishoz". Az új jelentkezők a tabella aljáról indulnak.Elérhetőségek a Viber csoportban lesznek. A meccsek 3 nyert szettig tartanak. </a:t>
          </a:r>
          <a:br>
            <a:rPr lang="hu-HU" sz="1100" baseline="0"/>
          </a:br>
          <a:r>
            <a:rPr lang="hu-HU" sz="1100" baseline="0"/>
            <a:t>Jelentkezés: </a:t>
          </a:r>
          <a:r>
            <a:rPr lang="hu-HU" sz="1100" u="sng">
              <a:solidFill>
                <a:schemeClr val="dk1"/>
              </a:solidFill>
              <a:effectLst/>
              <a:latin typeface="+mn-lt"/>
              <a:ea typeface="+mn-ea"/>
              <a:cs typeface="+mn-cs"/>
              <a:hlinkClick xmlns:r="http://schemas.openxmlformats.org/officeDocument/2006/relationships" r:id=""/>
            </a:rPr>
            <a:t>ontodesquashliga@gmail.com</a:t>
          </a:r>
          <a:endParaRPr lang="hu-HU"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dzsotom254@gmail.com" TargetMode="External"/><Relationship Id="rId13" Type="http://schemas.openxmlformats.org/officeDocument/2006/relationships/printerSettings" Target="../printerSettings/printerSettings11.bin"/><Relationship Id="rId3" Type="http://schemas.openxmlformats.org/officeDocument/2006/relationships/hyperlink" Target="mailto:hajbati81@gmail.com" TargetMode="External"/><Relationship Id="rId7" Type="http://schemas.openxmlformats.org/officeDocument/2006/relationships/hyperlink" Target="mailto:vinczekrisztian93@gmail.com" TargetMode="External"/><Relationship Id="rId12" Type="http://schemas.openxmlformats.org/officeDocument/2006/relationships/hyperlink" Target="mailto:bazsa781005@gmail.com" TargetMode="External"/><Relationship Id="rId2" Type="http://schemas.openxmlformats.org/officeDocument/2006/relationships/hyperlink" Target="mailto:julcsi.gaspar@gmail.com" TargetMode="External"/><Relationship Id="rId1" Type="http://schemas.openxmlformats.org/officeDocument/2006/relationships/hyperlink" Target="mailto:czupor.attila@cellkabel.hu" TargetMode="External"/><Relationship Id="rId6" Type="http://schemas.openxmlformats.org/officeDocument/2006/relationships/hyperlink" Target="mailto:matyasbakos1@gmail.com" TargetMode="External"/><Relationship Id="rId11" Type="http://schemas.openxmlformats.org/officeDocument/2006/relationships/hyperlink" Target="mailto:zoligyano@gmail.com" TargetMode="External"/><Relationship Id="rId5" Type="http://schemas.openxmlformats.org/officeDocument/2006/relationships/hyperlink" Target="mailto:ekro0108@icloud.com" TargetMode="External"/><Relationship Id="rId10" Type="http://schemas.openxmlformats.org/officeDocument/2006/relationships/hyperlink" Target="mailto:szek.martin@gmail.com" TargetMode="External"/><Relationship Id="rId4" Type="http://schemas.openxmlformats.org/officeDocument/2006/relationships/hyperlink" Target="mailto:dancitube@gmail.com" TargetMode="External"/><Relationship Id="rId9" Type="http://schemas.openxmlformats.org/officeDocument/2006/relationships/hyperlink" Target="mailto:lukacsdaniel0608@gmail.com"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43"/>
  <sheetViews>
    <sheetView zoomScale="81" zoomScaleNormal="81" workbookViewId="0">
      <selection activeCell="R22" sqref="R22"/>
    </sheetView>
  </sheetViews>
  <sheetFormatPr baseColWidth="10" defaultColWidth="8.83203125" defaultRowHeight="15"/>
  <cols>
    <col min="1" max="7" width="12.33203125" customWidth="1"/>
    <col min="8" max="8" width="11.5" customWidth="1"/>
    <col min="9" max="9" width="12" customWidth="1"/>
    <col min="10" max="11" width="0.1640625" customWidth="1"/>
    <col min="12" max="12" width="10.6640625" customWidth="1"/>
    <col min="13" max="15" width="8.5" customWidth="1"/>
    <col min="16" max="16" width="10.6640625" customWidth="1"/>
    <col min="17" max="17" width="37.6640625" customWidth="1"/>
    <col min="18" max="18" width="10.6640625" style="4" customWidth="1"/>
  </cols>
  <sheetData>
    <row r="1" spans="1:19" ht="15.75" customHeight="1">
      <c r="A1" s="21"/>
      <c r="B1" s="98" t="str">
        <f ca="1">VLOOKUP(CONCATENATE(LEFT($A$2,1),COLUMN()-1),nevezettek,3,FALSE)</f>
        <v>Marton Zoltán</v>
      </c>
      <c r="C1" s="98" t="str">
        <f t="shared" ref="C1:K1" ca="1" si="0">VLOOKUP(CONCATENATE(LEFT($A$2,1),COLUMN()-1),nevezettek,3,FALSE)</f>
        <v>Tóth Zoltán</v>
      </c>
      <c r="D1" s="98" t="str">
        <f t="shared" ca="1" si="0"/>
        <v>Polgár István</v>
      </c>
      <c r="E1" s="98" t="str">
        <f t="shared" ca="1" si="0"/>
        <v>Weisz György</v>
      </c>
      <c r="F1" s="98" t="str">
        <f t="shared" ca="1" si="0"/>
        <v>Nagy Ferenc</v>
      </c>
      <c r="G1" s="98" t="str">
        <f t="shared" ca="1" si="0"/>
        <v>Dombay Miklós</v>
      </c>
      <c r="H1" s="98" t="str">
        <f t="shared" ca="1" si="0"/>
        <v>Pék Róbert</v>
      </c>
      <c r="I1" s="98" t="str">
        <f t="shared" ca="1" si="0"/>
        <v>Kovács Gábor</v>
      </c>
      <c r="J1" s="98">
        <f t="shared" ca="1" si="0"/>
        <v>0</v>
      </c>
      <c r="K1" s="107">
        <f t="shared" ca="1" si="0"/>
        <v>0</v>
      </c>
      <c r="L1" s="110" t="s">
        <v>31</v>
      </c>
      <c r="M1" s="113" t="s">
        <v>59</v>
      </c>
      <c r="N1" s="89" t="s">
        <v>58</v>
      </c>
      <c r="O1" s="92" t="s">
        <v>65</v>
      </c>
      <c r="P1" s="95" t="s">
        <v>167</v>
      </c>
      <c r="Q1" s="4"/>
    </row>
    <row r="2" spans="1:19">
      <c r="A2" s="22" t="str">
        <f ca="1">RIGHT(CELL("filename",A1),6)</f>
        <v>A liga</v>
      </c>
      <c r="B2" s="99"/>
      <c r="C2" s="99"/>
      <c r="D2" s="99"/>
      <c r="E2" s="99"/>
      <c r="F2" s="99"/>
      <c r="G2" s="99"/>
      <c r="H2" s="99"/>
      <c r="I2" s="99"/>
      <c r="J2" s="99"/>
      <c r="K2" s="108"/>
      <c r="L2" s="111"/>
      <c r="M2" s="114"/>
      <c r="N2" s="90"/>
      <c r="O2" s="93"/>
      <c r="P2" s="96"/>
      <c r="Q2" s="4"/>
    </row>
    <row r="3" spans="1:19">
      <c r="A3" s="23">
        <f ca="1">COUNTIF(Ligabeosztas!D:D,LEFT(A2,1))</f>
        <v>10</v>
      </c>
      <c r="B3" s="100"/>
      <c r="C3" s="100"/>
      <c r="D3" s="100"/>
      <c r="E3" s="100"/>
      <c r="F3" s="100"/>
      <c r="G3" s="100"/>
      <c r="H3" s="100"/>
      <c r="I3" s="100"/>
      <c r="J3" s="100"/>
      <c r="K3" s="109"/>
      <c r="L3" s="112"/>
      <c r="M3" s="115"/>
      <c r="N3" s="91"/>
      <c r="O3" s="94"/>
      <c r="P3" s="97"/>
      <c r="Q3" s="4"/>
      <c r="R3" s="24"/>
    </row>
    <row r="4" spans="1:19" ht="15" customHeight="1">
      <c r="A4" s="98" t="str">
        <f ca="1">B1</f>
        <v>Marton Zoltán</v>
      </c>
      <c r="B4" s="101"/>
      <c r="C4" s="104"/>
      <c r="D4" s="104"/>
      <c r="E4" s="104"/>
      <c r="F4" s="104"/>
      <c r="G4" s="104"/>
      <c r="H4" s="104"/>
      <c r="I4" s="104"/>
      <c r="J4" s="104"/>
      <c r="K4" s="124"/>
      <c r="L4" s="127">
        <f>5*(COUNTIF(B4:K6,"5/0")+COUNTIF(B4:K6,"4/1")+COUNTIF(B4:K6,"3/2")+COUNTIF(B4:K6,"5/-"))+3*COUNTIF(B4:K6,"2/3")+2*COUNTIF(B4:K6,"1/4")+COUNTIF(B4:K6,"0/5")+0.01*M4+0.0001*(N4)</f>
        <v>0</v>
      </c>
      <c r="M4" s="130">
        <f>1*COUNTIF(B4:K6,"5/0")+1*COUNTIF(B4:K6,"4/1")+1*COUNTIF(B4:K6,"3/2")+1*COUNTIF(B4:K6,"5/-")+0*COUNTIF(B4:K6,"2/3")+0*COUNTIF(B4:K6,"1/4")+0*COUNTIF(B4:K6,"0/5")</f>
        <v>0</v>
      </c>
      <c r="N4" s="116">
        <f>5*COUNTIF(B4:K6,"5/0")+4*COUNTIF(B4:K6,"4/1")+3*COUNTIF(B4:K6,"3/2")+5*COUNTIF(B4:K6,"5/-")+2*COUNTIF(B4:K6,"2/3")+1*COUNTIF(B4:K6,"1/4")+0*COUNTIF(B4:K6,"0/5")</f>
        <v>0</v>
      </c>
      <c r="O4" s="119">
        <f>0*COUNTIF(B4:K6,"5/0")+1*COUNTIF(B4:K6,"4/1")+2*COUNTIF(B4:K6,"3/2")+3*COUNTIF(B4:K6,"2/3")+4*COUNTIF(B4:K6,"1/4")+5*COUNTIF(B4:K6,"0/5")+5*COUNTIF(B4:K6,"-/5")</f>
        <v>0</v>
      </c>
      <c r="P4" s="122">
        <f>RANK(L4,L$4:L$33)</f>
        <v>1</v>
      </c>
      <c r="Q4" s="9"/>
    </row>
    <row r="5" spans="1:19">
      <c r="A5" s="99"/>
      <c r="B5" s="102"/>
      <c r="C5" s="105"/>
      <c r="D5" s="105"/>
      <c r="E5" s="105"/>
      <c r="F5" s="105"/>
      <c r="G5" s="105"/>
      <c r="H5" s="105"/>
      <c r="I5" s="105"/>
      <c r="J5" s="105"/>
      <c r="K5" s="125"/>
      <c r="L5" s="128"/>
      <c r="M5" s="131"/>
      <c r="N5" s="117"/>
      <c r="O5" s="120"/>
      <c r="P5" s="123"/>
      <c r="Q5" s="4"/>
    </row>
    <row r="6" spans="1:19">
      <c r="A6" s="100"/>
      <c r="B6" s="103"/>
      <c r="C6" s="106"/>
      <c r="D6" s="106"/>
      <c r="E6" s="106"/>
      <c r="F6" s="106"/>
      <c r="G6" s="106"/>
      <c r="H6" s="106"/>
      <c r="I6" s="106"/>
      <c r="J6" s="106"/>
      <c r="K6" s="126"/>
      <c r="L6" s="129"/>
      <c r="M6" s="132"/>
      <c r="N6" s="118"/>
      <c r="O6" s="121"/>
      <c r="P6" s="51">
        <f>IFERROR(L4/SUM(N4:O6),0)</f>
        <v>0</v>
      </c>
      <c r="Q6" s="10"/>
    </row>
    <row r="7" spans="1:19">
      <c r="A7" s="98" t="str">
        <f ca="1">C1</f>
        <v>Tóth Zoltán</v>
      </c>
      <c r="B7" s="104"/>
      <c r="C7" s="101"/>
      <c r="D7" s="104"/>
      <c r="E7" s="104"/>
      <c r="F7" s="104"/>
      <c r="G7" s="104"/>
      <c r="H7" s="104"/>
      <c r="I7" s="104"/>
      <c r="J7" s="104"/>
      <c r="K7" s="124"/>
      <c r="L7" s="127">
        <f t="shared" ref="L7" si="1">5*(COUNTIF(B7:K9,"5/0")+COUNTIF(B7:K9,"4/1")+COUNTIF(B7:K9,"3/2")+COUNTIF(B7:K9,"5/-"))+3*COUNTIF(B7:K9,"2/3")+2*COUNTIF(B7:K9,"1/4")+COUNTIF(B7:K9,"0/5")+0.01*M7+0.0001*(N7)</f>
        <v>0</v>
      </c>
      <c r="M7" s="130">
        <f>1*COUNTIF(B7:K9,"5/0")+1*COUNTIF(B7:K9,"4/1")+1*COUNTIF(B7:K9,"3/2")+1*COUNTIF(B7:K9,"5/-")+0*COUNTIF(B7:K9,"2/3")+0*COUNTIF(B7:K9,"1/4")+0*COUNTIF(B7:K9,"0/5")</f>
        <v>0</v>
      </c>
      <c r="N7" s="116">
        <f>5*COUNTIF(B7:K9,"5/0")+4*COUNTIF(B7:K9,"4/1")+3*COUNTIF(B7:K9,"3/2")+5*COUNTIF(B7:K9,"5/-")+2*COUNTIF(B7:K9,"2/3")+1*COUNTIF(B7:K9,"1/4")+0*COUNTIF(B7:K9,"0/5")</f>
        <v>0</v>
      </c>
      <c r="O7" s="119">
        <f>0*COUNTIF(B7:K9,"5/0")+1*COUNTIF(B7:K9,"4/1")+2*COUNTIF(B7:K9,"3/2")+3*COUNTIF(B7:K9,"2/3")+4*COUNTIF(B7:K9,"1/4")+5*COUNTIF(B7:K9,"0/5")+5*COUNTIF(B7:K9,"-/5")</f>
        <v>0</v>
      </c>
      <c r="P7" s="133">
        <f>RANK(L7,L$4:L$33)</f>
        <v>1</v>
      </c>
      <c r="Q7" s="10"/>
      <c r="S7" s="5"/>
    </row>
    <row r="8" spans="1:19">
      <c r="A8" s="99"/>
      <c r="B8" s="105"/>
      <c r="C8" s="102"/>
      <c r="D8" s="105"/>
      <c r="E8" s="105"/>
      <c r="F8" s="105"/>
      <c r="G8" s="105"/>
      <c r="H8" s="105"/>
      <c r="I8" s="105"/>
      <c r="J8" s="105"/>
      <c r="K8" s="125"/>
      <c r="L8" s="128"/>
      <c r="M8" s="131"/>
      <c r="N8" s="117"/>
      <c r="O8" s="120"/>
      <c r="P8" s="134"/>
      <c r="Q8" s="2"/>
      <c r="S8" s="5"/>
    </row>
    <row r="9" spans="1:19">
      <c r="A9" s="100"/>
      <c r="B9" s="106"/>
      <c r="C9" s="103"/>
      <c r="D9" s="106"/>
      <c r="E9" s="106"/>
      <c r="F9" s="106"/>
      <c r="G9" s="106"/>
      <c r="H9" s="106"/>
      <c r="I9" s="106"/>
      <c r="J9" s="106"/>
      <c r="K9" s="126"/>
      <c r="L9" s="129"/>
      <c r="M9" s="132"/>
      <c r="N9" s="118"/>
      <c r="O9" s="121"/>
      <c r="P9" s="29">
        <f>IFERROR(L7/SUM(N7:O9),0)</f>
        <v>0</v>
      </c>
      <c r="Q9" s="10"/>
      <c r="S9" s="8"/>
    </row>
    <row r="10" spans="1:19">
      <c r="A10" s="98" t="str">
        <f ca="1">D1</f>
        <v>Polgár István</v>
      </c>
      <c r="B10" s="104"/>
      <c r="C10" s="104"/>
      <c r="D10" s="101"/>
      <c r="E10" s="104"/>
      <c r="F10" s="104"/>
      <c r="G10" s="104"/>
      <c r="H10" s="104"/>
      <c r="I10" s="104"/>
      <c r="J10" s="104"/>
      <c r="K10" s="124"/>
      <c r="L10" s="127">
        <f t="shared" ref="L10" si="2">5*(COUNTIF(B10:K12,"5/0")+COUNTIF(B10:K12,"4/1")+COUNTIF(B10:K12,"3/2")+COUNTIF(B10:K12,"5/-"))+3*COUNTIF(B10:K12,"2/3")+2*COUNTIF(B10:K12,"1/4")+COUNTIF(B10:K12,"0/5")+0.01*M10+0.0001*(N10)</f>
        <v>0</v>
      </c>
      <c r="M10" s="130">
        <f>1*COUNTIF(B10:K12,"5/0")+1*COUNTIF(B10:K12,"4/1")+1*COUNTIF(B10:K12,"3/2")+1*COUNTIF(B10:K12,"5/-")+0*COUNTIF(B10:K12,"2/3")+0*COUNTIF(B10:K12,"1/4")+0*COUNTIF(B10:K12,"0/5")</f>
        <v>0</v>
      </c>
      <c r="N10" s="116">
        <f>5*COUNTIF(B10:K12,"5/0")+4*COUNTIF(B10:K12,"4/1")+3*COUNTIF(B10:K12,"3/2")+5*COUNTIF(B10:K12,"5/-")+2*COUNTIF(B10:K12,"2/3")+1*COUNTIF(B10:K12,"1/4")+0*COUNTIF(B10:K12,"0/5")</f>
        <v>0</v>
      </c>
      <c r="O10" s="119">
        <f>0*COUNTIF(B10:K12,"5/0")+1*COUNTIF(B10:K12,"4/1")+2*COUNTIF(B10:K12,"3/2")+3*COUNTIF(B10:K12,"2/3")+4*COUNTIF(B10:K12,"1/4")+5*COUNTIF(B10:K12,"0/5")+5*COUNTIF(B10:K12,"-/5")</f>
        <v>0</v>
      </c>
      <c r="P10" s="133">
        <f>RANK(L10,L$4:L$33)</f>
        <v>1</v>
      </c>
      <c r="Q10" s="10"/>
    </row>
    <row r="11" spans="1:19">
      <c r="A11" s="99"/>
      <c r="B11" s="105"/>
      <c r="C11" s="105"/>
      <c r="D11" s="102"/>
      <c r="E11" s="105"/>
      <c r="F11" s="105"/>
      <c r="G11" s="105"/>
      <c r="H11" s="105"/>
      <c r="I11" s="105"/>
      <c r="J11" s="105"/>
      <c r="K11" s="125"/>
      <c r="L11" s="128"/>
      <c r="M11" s="131"/>
      <c r="N11" s="117"/>
      <c r="O11" s="120"/>
      <c r="P11" s="134"/>
      <c r="Q11" s="1"/>
      <c r="S11" s="6"/>
    </row>
    <row r="12" spans="1:19">
      <c r="A12" s="100"/>
      <c r="B12" s="106"/>
      <c r="C12" s="106"/>
      <c r="D12" s="103"/>
      <c r="E12" s="106"/>
      <c r="F12" s="106"/>
      <c r="G12" s="106"/>
      <c r="H12" s="106"/>
      <c r="I12" s="106"/>
      <c r="J12" s="106"/>
      <c r="K12" s="126"/>
      <c r="L12" s="129"/>
      <c r="M12" s="132"/>
      <c r="N12" s="118"/>
      <c r="O12" s="121"/>
      <c r="P12" s="29">
        <f>IFERROR(L10/SUM(N10:O12),0)</f>
        <v>0</v>
      </c>
      <c r="Q12" s="10"/>
    </row>
    <row r="13" spans="1:19">
      <c r="A13" s="98" t="str">
        <f ca="1">E1</f>
        <v>Weisz György</v>
      </c>
      <c r="B13" s="104"/>
      <c r="C13" s="104"/>
      <c r="D13" s="104"/>
      <c r="E13" s="101"/>
      <c r="F13" s="104"/>
      <c r="G13" s="104"/>
      <c r="H13" s="104"/>
      <c r="I13" s="104"/>
      <c r="J13" s="104"/>
      <c r="K13" s="124"/>
      <c r="L13" s="127">
        <f t="shared" ref="L13" si="3">5*(COUNTIF(B13:K15,"5/0")+COUNTIF(B13:K15,"4/1")+COUNTIF(B13:K15,"3/2")+COUNTIF(B13:K15,"5/-"))+3*COUNTIF(B13:K15,"2/3")+2*COUNTIF(B13:K15,"1/4")+COUNTIF(B13:K15,"0/5")+0.01*M13+0.0001*(N13)</f>
        <v>0</v>
      </c>
      <c r="M13" s="130">
        <f>1*COUNTIF(B13:K15,"5/0")+1*COUNTIF(B13:K15,"4/1")+1*COUNTIF(B13:K15,"3/2")+1*COUNTIF(B13:K15,"5/-")+0*COUNTIF(B13:K15,"2/3")+0*COUNTIF(B13:K15,"1/4")+0*COUNTIF(B13:K15,"0/5")</f>
        <v>0</v>
      </c>
      <c r="N13" s="116">
        <f>5*COUNTIF(B13:K15,"5/0")+4*COUNTIF(B13:K15,"4/1")+3*COUNTIF(B13:K15,"3/2")+5*COUNTIF(B13:K15,"5/-")+2*COUNTIF(B13:K15,"2/3")+1*COUNTIF(B13:K15,"1/4")+0*COUNTIF(B13:K15,"0/5")</f>
        <v>0</v>
      </c>
      <c r="O13" s="119">
        <f>0*COUNTIF(B13:K15,"5/0")+1*COUNTIF(B13:K15,"4/1")+2*COUNTIF(B13:K15,"3/2")+3*COUNTIF(B13:K15,"2/3")+4*COUNTIF(B13:K15,"1/4")+5*COUNTIF(B13:K15,"0/5")+5*COUNTIF(B13:K15,"-/5")</f>
        <v>0</v>
      </c>
      <c r="P13" s="133">
        <f>RANK(L13,L$4:L$33)</f>
        <v>1</v>
      </c>
      <c r="Q13" s="10"/>
    </row>
    <row r="14" spans="1:19">
      <c r="A14" s="99"/>
      <c r="B14" s="105"/>
      <c r="C14" s="105"/>
      <c r="D14" s="105"/>
      <c r="E14" s="102"/>
      <c r="F14" s="105"/>
      <c r="G14" s="105"/>
      <c r="H14" s="105"/>
      <c r="I14" s="105"/>
      <c r="J14" s="105"/>
      <c r="K14" s="125"/>
      <c r="L14" s="128"/>
      <c r="M14" s="131"/>
      <c r="N14" s="117"/>
      <c r="O14" s="120"/>
      <c r="P14" s="134"/>
      <c r="Q14" s="4"/>
      <c r="S14" s="6"/>
    </row>
    <row r="15" spans="1:19">
      <c r="A15" s="100"/>
      <c r="B15" s="106"/>
      <c r="C15" s="106"/>
      <c r="D15" s="106"/>
      <c r="E15" s="103"/>
      <c r="F15" s="106"/>
      <c r="G15" s="106"/>
      <c r="H15" s="106"/>
      <c r="I15" s="106"/>
      <c r="J15" s="106"/>
      <c r="K15" s="126"/>
      <c r="L15" s="129"/>
      <c r="M15" s="132"/>
      <c r="N15" s="118"/>
      <c r="O15" s="121"/>
      <c r="P15" s="29">
        <f>IFERROR(L13/SUM(N13:O15),0)</f>
        <v>0</v>
      </c>
      <c r="Q15" s="10"/>
    </row>
    <row r="16" spans="1:19">
      <c r="A16" s="98" t="str">
        <f ca="1">F1</f>
        <v>Nagy Ferenc</v>
      </c>
      <c r="B16" s="104"/>
      <c r="C16" s="104"/>
      <c r="D16" s="104"/>
      <c r="E16" s="104"/>
      <c r="F16" s="101"/>
      <c r="G16" s="104"/>
      <c r="H16" s="104"/>
      <c r="I16" s="104"/>
      <c r="J16" s="104"/>
      <c r="K16" s="124"/>
      <c r="L16" s="127">
        <f t="shared" ref="L16" si="4">5*(COUNTIF(B16:K18,"5/0")+COUNTIF(B16:K18,"4/1")+COUNTIF(B16:K18,"3/2")+COUNTIF(B16:K18,"5/-"))+3*COUNTIF(B16:K18,"2/3")+2*COUNTIF(B16:K18,"1/4")+COUNTIF(B16:K18,"0/5")+0.01*M16+0.0001*(N16)</f>
        <v>0</v>
      </c>
      <c r="M16" s="130">
        <f>1*COUNTIF(B16:K18,"5/0")+1*COUNTIF(B16:K18,"4/1")+1*COUNTIF(B16:K18,"3/2")+1*COUNTIF(B16:K18,"5/-")+0*COUNTIF(B16:K18,"2/3")+0*COUNTIF(B16:K18,"1/4")+0*COUNTIF(B16:K18,"0/5")</f>
        <v>0</v>
      </c>
      <c r="N16" s="116">
        <f>5*COUNTIF(B16:K18,"5/0")+4*COUNTIF(B16:K18,"4/1")+3*COUNTIF(B16:K18,"3/2")+5*COUNTIF(B16:K18,"5/-")+2*COUNTIF(B16:K18,"2/3")+1*COUNTIF(B16:K18,"1/4")+0*COUNTIF(B16:K18,"0/5")</f>
        <v>0</v>
      </c>
      <c r="O16" s="119">
        <f>0*COUNTIF(B16:K18,"5/0")+1*COUNTIF(B16:K18,"4/1")+2*COUNTIF(B16:K18,"3/2")+3*COUNTIF(B16:K18,"2/3")+4*COUNTIF(B16:K18,"1/4")+5*COUNTIF(B16:K18,"0/5")+5*COUNTIF(B16:K18,"-/5")</f>
        <v>0</v>
      </c>
      <c r="P16" s="133">
        <f>RANK(L16,L$4:L$33)</f>
        <v>1</v>
      </c>
      <c r="Q16" s="10"/>
    </row>
    <row r="17" spans="1:21">
      <c r="A17" s="99"/>
      <c r="B17" s="105"/>
      <c r="C17" s="105"/>
      <c r="D17" s="105"/>
      <c r="E17" s="105"/>
      <c r="F17" s="102"/>
      <c r="G17" s="105"/>
      <c r="H17" s="105"/>
      <c r="I17" s="105"/>
      <c r="J17" s="105"/>
      <c r="K17" s="125"/>
      <c r="L17" s="128"/>
      <c r="M17" s="131"/>
      <c r="N17" s="117"/>
      <c r="O17" s="120"/>
      <c r="P17" s="134"/>
      <c r="Q17" s="4"/>
    </row>
    <row r="18" spans="1:21">
      <c r="A18" s="100"/>
      <c r="B18" s="106"/>
      <c r="C18" s="106"/>
      <c r="D18" s="106"/>
      <c r="E18" s="106"/>
      <c r="F18" s="103"/>
      <c r="G18" s="106"/>
      <c r="H18" s="106"/>
      <c r="I18" s="106"/>
      <c r="J18" s="106"/>
      <c r="K18" s="126"/>
      <c r="L18" s="129"/>
      <c r="M18" s="132"/>
      <c r="N18" s="118"/>
      <c r="O18" s="121"/>
      <c r="P18" s="29">
        <f>IFERROR(L16/SUM(N16:O18),0)</f>
        <v>0</v>
      </c>
      <c r="Q18" s="10"/>
    </row>
    <row r="19" spans="1:21">
      <c r="A19" s="98" t="str">
        <f ca="1">G1</f>
        <v>Dombay Miklós</v>
      </c>
      <c r="B19" s="104"/>
      <c r="C19" s="104"/>
      <c r="D19" s="104"/>
      <c r="E19" s="104"/>
      <c r="F19" s="104"/>
      <c r="G19" s="101"/>
      <c r="H19" s="104"/>
      <c r="I19" s="104"/>
      <c r="J19" s="104"/>
      <c r="K19" s="124"/>
      <c r="L19" s="127">
        <f t="shared" ref="L19" si="5">5*(COUNTIF(B19:K21,"5/0")+COUNTIF(B19:K21,"4/1")+COUNTIF(B19:K21,"3/2")+COUNTIF(B19:K21,"5/-"))+3*COUNTIF(B19:K21,"2/3")+2*COUNTIF(B19:K21,"1/4")+COUNTIF(B19:K21,"0/5")+0.01*M19+0.0001*(N19)</f>
        <v>0</v>
      </c>
      <c r="M19" s="130">
        <f>1*COUNTIF(B19:K21,"5/0")+1*COUNTIF(B19:K21,"4/1")+1*COUNTIF(B19:K21,"3/2")+1*COUNTIF(B19:K21,"5/-")+0*COUNTIF(B19:K21,"2/3")+0*COUNTIF(B19:K21,"1/4")+0*COUNTIF(B19:K21,"0/5")</f>
        <v>0</v>
      </c>
      <c r="N19" s="116">
        <f>5*COUNTIF(B19:K21,"5/0")+4*COUNTIF(B19:K21,"4/1")+3*COUNTIF(B19:K21,"3/2")+5*COUNTIF(B19:K21,"5/-")+2*COUNTIF(B19:K21,"2/3")+1*COUNTIF(B19:K21,"1/4")+0*COUNTIF(B19:K21,"0/5")</f>
        <v>0</v>
      </c>
      <c r="O19" s="119">
        <f>0*COUNTIF(B19:K21,"5/0")+1*COUNTIF(B19:K21,"4/1")+2*COUNTIF(B19:K21,"3/2")+3*COUNTIF(B19:K21,"2/3")+4*COUNTIF(B19:K21,"1/4")+5*COUNTIF(B19:K21,"0/5")+5*COUNTIF(B19:K21,"-/5")</f>
        <v>0</v>
      </c>
      <c r="P19" s="133">
        <f>RANK(L19,L$4:L$33)</f>
        <v>1</v>
      </c>
      <c r="Q19" s="10"/>
      <c r="S19" s="5"/>
    </row>
    <row r="20" spans="1:21">
      <c r="A20" s="99"/>
      <c r="B20" s="105"/>
      <c r="C20" s="105"/>
      <c r="D20" s="105"/>
      <c r="E20" s="105"/>
      <c r="F20" s="105"/>
      <c r="G20" s="102"/>
      <c r="H20" s="105"/>
      <c r="I20" s="105"/>
      <c r="J20" s="105"/>
      <c r="K20" s="125"/>
      <c r="L20" s="128"/>
      <c r="M20" s="131"/>
      <c r="N20" s="117"/>
      <c r="O20" s="120"/>
      <c r="P20" s="134"/>
      <c r="Q20" s="1"/>
      <c r="S20" s="5"/>
    </row>
    <row r="21" spans="1:21" ht="13.75" customHeight="1">
      <c r="A21" s="100"/>
      <c r="B21" s="106"/>
      <c r="C21" s="106"/>
      <c r="D21" s="106"/>
      <c r="E21" s="106"/>
      <c r="F21" s="106"/>
      <c r="G21" s="103"/>
      <c r="H21" s="106"/>
      <c r="I21" s="106"/>
      <c r="J21" s="106"/>
      <c r="K21" s="126"/>
      <c r="L21" s="129"/>
      <c r="M21" s="132"/>
      <c r="N21" s="118"/>
      <c r="O21" s="121"/>
      <c r="P21" s="29">
        <f>IFERROR(L19/SUM(N19:O21),0)</f>
        <v>0</v>
      </c>
      <c r="Q21" s="10"/>
    </row>
    <row r="22" spans="1:21" ht="14.5" customHeight="1">
      <c r="A22" s="98" t="str">
        <f ca="1">H1</f>
        <v>Pék Róbert</v>
      </c>
      <c r="B22" s="104"/>
      <c r="C22" s="104"/>
      <c r="D22" s="104"/>
      <c r="E22" s="104"/>
      <c r="F22" s="104"/>
      <c r="G22" s="104"/>
      <c r="H22" s="101"/>
      <c r="I22" s="104"/>
      <c r="J22" s="104"/>
      <c r="K22" s="124"/>
      <c r="L22" s="127">
        <f t="shared" ref="L22" si="6">5*(COUNTIF(B22:K24,"5/0")+COUNTIF(B22:K24,"4/1")+COUNTIF(B22:K24,"3/2")+COUNTIF(B22:K24,"5/-"))+3*COUNTIF(B22:K24,"2/3")+2*COUNTIF(B22:K24,"1/4")+COUNTIF(B22:K24,"0/5")+0.01*M22+0.0001*(N22)</f>
        <v>0</v>
      </c>
      <c r="M22" s="130">
        <f>1*COUNTIF(B22:K24,"5/0")+1*COUNTIF(B22:K24,"4/1")+1*COUNTIF(B22:K24,"3/2")+1*COUNTIF(B22:K24,"5/-")+0*COUNTIF(B22:K24,"2/3")+0*COUNTIF(B22:K24,"1/4")+0*COUNTIF(B22:K24,"0/5")</f>
        <v>0</v>
      </c>
      <c r="N22" s="116">
        <f>5*COUNTIF(B22:K24,"5/0")+4*COUNTIF(B22:K24,"4/1")+3*COUNTIF(B22:K24,"3/2")+5*COUNTIF(B22:K24,"5/-")+2*COUNTIF(B22:K24,"2/3")+1*COUNTIF(B22:K24,"1/4")+0*COUNTIF(B22:K24,"0/5")</f>
        <v>0</v>
      </c>
      <c r="O22" s="119">
        <f>0*COUNTIF(B22:K24,"5/0")+1*COUNTIF(B22:K24,"4/1")+2*COUNTIF(B22:K24,"3/2")+3*COUNTIF(B22:K24,"2/3")+4*COUNTIF(B22:K24,"1/4")+5*COUNTIF(B22:K24,"0/5")+5*COUNTIF(B22:K24,"-/5")</f>
        <v>0</v>
      </c>
      <c r="P22" s="133">
        <f>RANK(L22,L$4:L$33)</f>
        <v>1</v>
      </c>
      <c r="Q22" s="10"/>
    </row>
    <row r="23" spans="1:21" ht="13.25" customHeight="1">
      <c r="A23" s="99"/>
      <c r="B23" s="105"/>
      <c r="C23" s="105"/>
      <c r="D23" s="105"/>
      <c r="E23" s="105"/>
      <c r="F23" s="105"/>
      <c r="G23" s="105"/>
      <c r="H23" s="102"/>
      <c r="I23" s="105"/>
      <c r="J23" s="105"/>
      <c r="K23" s="125"/>
      <c r="L23" s="128"/>
      <c r="M23" s="131"/>
      <c r="N23" s="117"/>
      <c r="O23" s="120"/>
      <c r="P23" s="134"/>
      <c r="Q23" s="1"/>
      <c r="S23" s="7"/>
      <c r="U23" s="3"/>
    </row>
    <row r="24" spans="1:21" ht="12.5" customHeight="1">
      <c r="A24" s="100"/>
      <c r="B24" s="106"/>
      <c r="C24" s="106"/>
      <c r="D24" s="106"/>
      <c r="E24" s="106"/>
      <c r="F24" s="106"/>
      <c r="G24" s="106"/>
      <c r="H24" s="103"/>
      <c r="I24" s="106"/>
      <c r="J24" s="106"/>
      <c r="K24" s="126"/>
      <c r="L24" s="129"/>
      <c r="M24" s="132"/>
      <c r="N24" s="118"/>
      <c r="O24" s="121"/>
      <c r="P24" s="29">
        <f>IFERROR(L22/SUM(N22:O24),0)</f>
        <v>0</v>
      </c>
      <c r="Q24" s="10"/>
    </row>
    <row r="25" spans="1:21" ht="15.5" customHeight="1">
      <c r="A25" s="98" t="str">
        <f ca="1">I1</f>
        <v>Kovács Gábor</v>
      </c>
      <c r="B25" s="104"/>
      <c r="C25" s="104"/>
      <c r="D25" s="104"/>
      <c r="E25" s="104"/>
      <c r="F25" s="104"/>
      <c r="G25" s="104"/>
      <c r="H25" s="104"/>
      <c r="I25" s="101"/>
      <c r="J25" s="104"/>
      <c r="K25" s="124"/>
      <c r="L25" s="127">
        <f t="shared" ref="L25" si="7">5*(COUNTIF(B25:K27,"5/0")+COUNTIF(B25:K27,"4/1")+COUNTIF(B25:K27,"3/2")+COUNTIF(B25:K27,"5/-"))+3*COUNTIF(B25:K27,"2/3")+2*COUNTIF(B25:K27,"1/4")+COUNTIF(B25:K27,"0/5")+0.01*M25+0.0001*(N25)</f>
        <v>0</v>
      </c>
      <c r="M25" s="130">
        <f>1*COUNTIF(B25:K27,"5/0")+1*COUNTIF(B25:K27,"4/1")+1*COUNTIF(B25:K27,"3/2")+1*COUNTIF(B25:K27,"5/-")+0*COUNTIF(B25:K27,"2/3")+0*COUNTIF(B25:K27,"1/4")+0*COUNTIF(B25:K27,"0/5")</f>
        <v>0</v>
      </c>
      <c r="N25" s="116">
        <f>5*COUNTIF(B25:K27,"5/0")+4*COUNTIF(B25:K27,"4/1")+3*COUNTIF(B25:K27,"3/2")+5*COUNTIF(B25:K27,"5/-")+2*COUNTIF(B25:K27,"2/3")+1*COUNTIF(B25:K27,"1/4")+0*COUNTIF(B25:K27,"0/5")</f>
        <v>0</v>
      </c>
      <c r="O25" s="119">
        <f>0*COUNTIF(B25:K27,"5/0")+1*COUNTIF(B25:K27,"4/1")+2*COUNTIF(B25:K27,"3/2")+3*COUNTIF(B25:K27,"2/3")+4*COUNTIF(B25:K27,"1/4")+5*COUNTIF(B25:K27,"0/5")+5*COUNTIF(B25:K27,"-/5")</f>
        <v>0</v>
      </c>
      <c r="P25" s="133">
        <f>RANK(L25,L$4:L$33)</f>
        <v>1</v>
      </c>
      <c r="Q25" s="10"/>
    </row>
    <row r="26" spans="1:21" ht="12.5" customHeight="1">
      <c r="A26" s="99"/>
      <c r="B26" s="105"/>
      <c r="C26" s="105"/>
      <c r="D26" s="105"/>
      <c r="E26" s="105"/>
      <c r="F26" s="105"/>
      <c r="G26" s="105"/>
      <c r="H26" s="105"/>
      <c r="I26" s="102"/>
      <c r="J26" s="105"/>
      <c r="K26" s="125"/>
      <c r="L26" s="128"/>
      <c r="M26" s="131"/>
      <c r="N26" s="117"/>
      <c r="O26" s="120"/>
      <c r="P26" s="134"/>
      <c r="Q26" s="2"/>
    </row>
    <row r="27" spans="1:21" ht="12.5" customHeight="1">
      <c r="A27" s="100"/>
      <c r="B27" s="106"/>
      <c r="C27" s="106"/>
      <c r="D27" s="106"/>
      <c r="E27" s="106"/>
      <c r="F27" s="106"/>
      <c r="G27" s="106"/>
      <c r="H27" s="106"/>
      <c r="I27" s="103"/>
      <c r="J27" s="106"/>
      <c r="K27" s="126"/>
      <c r="L27" s="129"/>
      <c r="M27" s="132"/>
      <c r="N27" s="118"/>
      <c r="O27" s="121"/>
      <c r="P27" s="29">
        <f>IFERROR(L25/SUM(N25:O27),0)</f>
        <v>0</v>
      </c>
      <c r="Q27" s="10"/>
    </row>
    <row r="28" spans="1:21" ht="3" customHeight="1">
      <c r="A28" s="98">
        <f ca="1">J1</f>
        <v>0</v>
      </c>
      <c r="B28" s="104"/>
      <c r="C28" s="104"/>
      <c r="D28" s="104"/>
      <c r="E28" s="104"/>
      <c r="F28" s="104"/>
      <c r="G28" s="104"/>
      <c r="H28" s="104"/>
      <c r="I28" s="104"/>
      <c r="J28" s="101"/>
      <c r="K28" s="124"/>
      <c r="L28" s="127">
        <f t="shared" ref="L28" si="8">5*(COUNTIF(B28:K30,"5/0")+COUNTIF(B28:K30,"4/1")+COUNTIF(B28:K30,"3/2")+COUNTIF(B28:K30,"5/-"))+3*COUNTIF(B28:K30,"2/3")+2*COUNTIF(B28:K30,"1/4")+COUNTIF(B28:K30,"0/5")+0.01*M28+0.0001*(N28)</f>
        <v>0</v>
      </c>
      <c r="M28" s="130">
        <f>1*COUNTIF(B28:K30,"5/0")+1*COUNTIF(B28:K30,"4/1")+1*COUNTIF(B28:K30,"3/2")+1*COUNTIF(B28:K30,"5/-")+0*COUNTIF(B28:K30,"2/3")+0*COUNTIF(B28:K30,"1/4")+0*COUNTIF(B28:K30,"0/5")</f>
        <v>0</v>
      </c>
      <c r="N28" s="116">
        <f>5*COUNTIF(B28:K30,"5/0")+4*COUNTIF(B28:K30,"4/1")+3*COUNTIF(B28:K30,"3/2")+5*COUNTIF(B28:K30,"5/-")+2*COUNTIF(B28:K30,"2/3")+1*COUNTIF(B28:K30,"1/4")+0*COUNTIF(B28:K30,"0/5")</f>
        <v>0</v>
      </c>
      <c r="O28" s="119">
        <f>0*COUNTIF(B28:K30,"5/0")+1*COUNTIF(B28:K30,"4/1")+2*COUNTIF(B28:K30,"3/2")+3*COUNTIF(B28:K30,"2/3")+4*COUNTIF(B28:K30,"1/4")+5*COUNTIF(B28:K30,"0/5")+5*COUNTIF(B28:K30,"-/5")</f>
        <v>0</v>
      </c>
      <c r="P28" s="133">
        <f>RANK(L28,L$4:L$33)</f>
        <v>1</v>
      </c>
      <c r="Q28" s="10"/>
    </row>
    <row r="29" spans="1:21" ht="14.5" hidden="1" customHeight="1">
      <c r="A29" s="99"/>
      <c r="B29" s="105"/>
      <c r="C29" s="105"/>
      <c r="D29" s="105"/>
      <c r="E29" s="105"/>
      <c r="F29" s="105"/>
      <c r="G29" s="105"/>
      <c r="H29" s="105"/>
      <c r="I29" s="105"/>
      <c r="J29" s="102"/>
      <c r="K29" s="125"/>
      <c r="L29" s="128"/>
      <c r="M29" s="131"/>
      <c r="N29" s="117"/>
      <c r="O29" s="120"/>
      <c r="P29" s="134"/>
      <c r="Q29" s="2"/>
    </row>
    <row r="30" spans="1:21" ht="13.25" hidden="1" customHeight="1">
      <c r="A30" s="100"/>
      <c r="B30" s="106"/>
      <c r="C30" s="106"/>
      <c r="D30" s="106"/>
      <c r="E30" s="106"/>
      <c r="F30" s="106"/>
      <c r="G30" s="106"/>
      <c r="H30" s="106"/>
      <c r="I30" s="106"/>
      <c r="J30" s="103"/>
      <c r="K30" s="126"/>
      <c r="L30" s="129"/>
      <c r="M30" s="132"/>
      <c r="N30" s="118"/>
      <c r="O30" s="121"/>
      <c r="P30" s="29">
        <f>IFERROR(L28/SUM(N28:O30),0)</f>
        <v>0</v>
      </c>
      <c r="Q30" s="10"/>
    </row>
    <row r="31" spans="1:21" ht="1.75" customHeight="1">
      <c r="A31" s="98">
        <f ca="1">K1</f>
        <v>0</v>
      </c>
      <c r="B31" s="104"/>
      <c r="C31" s="104"/>
      <c r="D31" s="104"/>
      <c r="E31" s="104"/>
      <c r="F31" s="104"/>
      <c r="G31" s="104"/>
      <c r="H31" s="104"/>
      <c r="I31" s="104"/>
      <c r="J31" s="104"/>
      <c r="K31" s="101"/>
      <c r="L31" s="127">
        <f t="shared" ref="L31" si="9">5*(COUNTIF(B31:K33,"5/0")+COUNTIF(B31:K33,"4/1")+COUNTIF(B31:K33,"3/2")+COUNTIF(B31:K33,"5/-"))+3*COUNTIF(B31:K33,"2/3")+2*COUNTIF(B31:K33,"1/4")+COUNTIF(B31:K33,"0/5")+0.01*M31+0.0001*(N31)</f>
        <v>0</v>
      </c>
      <c r="M31" s="130">
        <f>1*COUNTIF(B31:K33,"5/0")+1*COUNTIF(B31:K33,"4/1")+1*COUNTIF(B31:K33,"3/2")+1*COUNTIF(B31:K33,"5/-")+0*COUNTIF(B31:K33,"2/3")+0*COUNTIF(B31:K33,"1/4")+0*COUNTIF(B31:K33,"0/5")</f>
        <v>0</v>
      </c>
      <c r="N31" s="116">
        <f>5*COUNTIF(B31:K33,"5/0")+4*COUNTIF(B31:K33,"4/1")+3*COUNTIF(B31:K33,"3/2")+5*COUNTIF(B31:K33,"5/-")+2*COUNTIF(B31:K33,"2/3")+1*COUNTIF(B31:K33,"1/4")+0*COUNTIF(B31:K33,"0/5")</f>
        <v>0</v>
      </c>
      <c r="O31" s="119">
        <f>0*COUNTIF(B31:K33,"5/0")+1*COUNTIF(B31:K33,"4/1")+2*COUNTIF(B31:K33,"3/2")+3*COUNTIF(B31:K33,"2/3")+4*COUNTIF(B31:K33,"1/4")+5*COUNTIF(B31:K33,"0/5")+5*COUNTIF(B31:K33,"-/5")</f>
        <v>0</v>
      </c>
      <c r="P31" s="133">
        <f>RANK(L31,L$4:L$33)</f>
        <v>1</v>
      </c>
      <c r="Q31" s="10"/>
    </row>
    <row r="32" spans="1:21" ht="15.5" hidden="1" customHeight="1">
      <c r="A32" s="99"/>
      <c r="B32" s="105"/>
      <c r="C32" s="105"/>
      <c r="D32" s="105"/>
      <c r="E32" s="105"/>
      <c r="F32" s="105"/>
      <c r="G32" s="105"/>
      <c r="H32" s="105"/>
      <c r="I32" s="105"/>
      <c r="J32" s="105"/>
      <c r="K32" s="102"/>
      <c r="L32" s="128"/>
      <c r="M32" s="131"/>
      <c r="N32" s="117"/>
      <c r="O32" s="120"/>
      <c r="P32" s="134"/>
      <c r="Q32" s="2"/>
    </row>
    <row r="33" spans="1:17" ht="16.25" hidden="1" customHeight="1">
      <c r="A33" s="100"/>
      <c r="B33" s="106"/>
      <c r="C33" s="106"/>
      <c r="D33" s="106"/>
      <c r="E33" s="106"/>
      <c r="F33" s="106"/>
      <c r="G33" s="106"/>
      <c r="H33" s="106"/>
      <c r="I33" s="106"/>
      <c r="J33" s="106"/>
      <c r="K33" s="103"/>
      <c r="L33" s="129"/>
      <c r="M33" s="132"/>
      <c r="N33" s="118"/>
      <c r="O33" s="121"/>
      <c r="P33" s="29">
        <f>IFERROR(L31/SUM(N31:O33),0)</f>
        <v>0</v>
      </c>
      <c r="Q33" s="10"/>
    </row>
    <row r="34" spans="1:17" ht="8.25" customHeight="1">
      <c r="F34" s="4"/>
      <c r="G34" s="4"/>
      <c r="H34" s="4"/>
      <c r="I34" s="4"/>
      <c r="J34" s="4"/>
      <c r="K34" s="4"/>
      <c r="L34" s="4"/>
      <c r="M34" s="4"/>
      <c r="N34" s="4"/>
      <c r="O34" s="4"/>
      <c r="P34" s="4"/>
      <c r="Q34" s="4"/>
    </row>
    <row r="35" spans="1:17">
      <c r="C35" s="1"/>
      <c r="D35" s="1"/>
      <c r="E35" s="4"/>
      <c r="F35" s="4"/>
      <c r="G35" s="4"/>
      <c r="H35" s="4"/>
      <c r="I35" s="4"/>
      <c r="J35" s="4"/>
      <c r="K35" s="4"/>
      <c r="L35" s="4"/>
      <c r="M35" s="4"/>
      <c r="N35" s="4"/>
      <c r="O35" s="4"/>
      <c r="P35" s="4"/>
      <c r="Q35" s="4"/>
    </row>
    <row r="36" spans="1:17">
      <c r="F36" s="4"/>
      <c r="G36" s="4"/>
      <c r="H36" s="4"/>
      <c r="I36" s="4"/>
      <c r="J36" s="4"/>
      <c r="K36" s="4"/>
      <c r="L36" s="4"/>
      <c r="M36" s="4"/>
      <c r="N36" s="4"/>
      <c r="O36" s="4"/>
      <c r="P36" s="4"/>
      <c r="Q36" s="4"/>
    </row>
    <row r="37" spans="1:17">
      <c r="F37" s="4"/>
      <c r="G37" s="4"/>
      <c r="H37" s="4"/>
      <c r="I37" s="4"/>
      <c r="J37" s="4"/>
      <c r="K37" s="4"/>
      <c r="L37" s="4"/>
      <c r="M37" s="4"/>
      <c r="N37" s="4"/>
      <c r="O37" s="4"/>
      <c r="P37" s="4"/>
      <c r="Q37" s="4"/>
    </row>
    <row r="38" spans="1:17">
      <c r="Q38" s="10"/>
    </row>
    <row r="39" spans="1:17">
      <c r="Q39" s="10"/>
    </row>
    <row r="40" spans="1:17">
      <c r="Q40" s="10"/>
    </row>
    <row r="41" spans="1:17">
      <c r="Q41" s="10"/>
    </row>
    <row r="42" spans="1:17">
      <c r="Q42" s="10"/>
    </row>
    <row r="43" spans="1:17">
      <c r="Q43" s="10"/>
    </row>
  </sheetData>
  <mergeCells count="175">
    <mergeCell ref="M31:M33"/>
    <mergeCell ref="N28:N30"/>
    <mergeCell ref="O28:O30"/>
    <mergeCell ref="P28:P29"/>
    <mergeCell ref="A31:A33"/>
    <mergeCell ref="B31:B33"/>
    <mergeCell ref="C31:C33"/>
    <mergeCell ref="D31:D33"/>
    <mergeCell ref="E31:E33"/>
    <mergeCell ref="F31:F33"/>
    <mergeCell ref="G31:G33"/>
    <mergeCell ref="H28:H30"/>
    <mergeCell ref="I28:I30"/>
    <mergeCell ref="J28:J30"/>
    <mergeCell ref="K28:K30"/>
    <mergeCell ref="L28:L30"/>
    <mergeCell ref="M28:M30"/>
    <mergeCell ref="N31:N33"/>
    <mergeCell ref="O31:O33"/>
    <mergeCell ref="P31:P32"/>
    <mergeCell ref="H31:H33"/>
    <mergeCell ref="I31:I33"/>
    <mergeCell ref="J31:J33"/>
    <mergeCell ref="K31:K33"/>
    <mergeCell ref="L31:L33"/>
    <mergeCell ref="A28:A30"/>
    <mergeCell ref="B28:B30"/>
    <mergeCell ref="C28:C30"/>
    <mergeCell ref="D28:D30"/>
    <mergeCell ref="E28:E30"/>
    <mergeCell ref="F28:F30"/>
    <mergeCell ref="G28:G30"/>
    <mergeCell ref="H25:H27"/>
    <mergeCell ref="I25:I27"/>
    <mergeCell ref="O22:O24"/>
    <mergeCell ref="P22:P23"/>
    <mergeCell ref="A25:A27"/>
    <mergeCell ref="B25:B27"/>
    <mergeCell ref="C25:C27"/>
    <mergeCell ref="D25:D27"/>
    <mergeCell ref="E25:E27"/>
    <mergeCell ref="F25:F27"/>
    <mergeCell ref="G25:G27"/>
    <mergeCell ref="H22:H24"/>
    <mergeCell ref="I22:I24"/>
    <mergeCell ref="J22:J24"/>
    <mergeCell ref="K22:K24"/>
    <mergeCell ref="L22:L24"/>
    <mergeCell ref="M22:M24"/>
    <mergeCell ref="N25:N27"/>
    <mergeCell ref="O25:O27"/>
    <mergeCell ref="P25:P26"/>
    <mergeCell ref="J25:J27"/>
    <mergeCell ref="K25:K27"/>
    <mergeCell ref="L25:L27"/>
    <mergeCell ref="M25:M27"/>
    <mergeCell ref="A22:A24"/>
    <mergeCell ref="B22:B24"/>
    <mergeCell ref="C22:C24"/>
    <mergeCell ref="D22:D24"/>
    <mergeCell ref="E22:E24"/>
    <mergeCell ref="F22:F24"/>
    <mergeCell ref="G22:G24"/>
    <mergeCell ref="H19:H21"/>
    <mergeCell ref="I19:I21"/>
    <mergeCell ref="N16:N18"/>
    <mergeCell ref="C16:C18"/>
    <mergeCell ref="D16:D18"/>
    <mergeCell ref="E16:E18"/>
    <mergeCell ref="F16:F18"/>
    <mergeCell ref="G16:G18"/>
    <mergeCell ref="N22:N24"/>
    <mergeCell ref="O16:O18"/>
    <mergeCell ref="P16:P17"/>
    <mergeCell ref="A19:A21"/>
    <mergeCell ref="B19:B21"/>
    <mergeCell ref="C19:C21"/>
    <mergeCell ref="D19:D21"/>
    <mergeCell ref="E19:E21"/>
    <mergeCell ref="F19:F21"/>
    <mergeCell ref="G19:G21"/>
    <mergeCell ref="H16:H18"/>
    <mergeCell ref="I16:I18"/>
    <mergeCell ref="J16:J18"/>
    <mergeCell ref="K16:K18"/>
    <mergeCell ref="L16:L18"/>
    <mergeCell ref="M16:M18"/>
    <mergeCell ref="N19:N21"/>
    <mergeCell ref="O19:O21"/>
    <mergeCell ref="P19:P20"/>
    <mergeCell ref="J19:J21"/>
    <mergeCell ref="K19:K21"/>
    <mergeCell ref="L19:L21"/>
    <mergeCell ref="M19:M21"/>
    <mergeCell ref="A16:A18"/>
    <mergeCell ref="B16:B18"/>
    <mergeCell ref="N10:N12"/>
    <mergeCell ref="O10:O12"/>
    <mergeCell ref="P10:P11"/>
    <mergeCell ref="A13:A15"/>
    <mergeCell ref="B13:B15"/>
    <mergeCell ref="C13:C15"/>
    <mergeCell ref="D13:D15"/>
    <mergeCell ref="E13:E15"/>
    <mergeCell ref="F13:F15"/>
    <mergeCell ref="G13:G15"/>
    <mergeCell ref="H10:H12"/>
    <mergeCell ref="I10:I12"/>
    <mergeCell ref="J10:J12"/>
    <mergeCell ref="K10:K12"/>
    <mergeCell ref="L10:L12"/>
    <mergeCell ref="M10:M12"/>
    <mergeCell ref="N13:N15"/>
    <mergeCell ref="O13:O15"/>
    <mergeCell ref="P13:P14"/>
    <mergeCell ref="J13:J15"/>
    <mergeCell ref="K13:K15"/>
    <mergeCell ref="L13:L15"/>
    <mergeCell ref="M13:M15"/>
    <mergeCell ref="A10:A12"/>
    <mergeCell ref="B10:B12"/>
    <mergeCell ref="C10:C12"/>
    <mergeCell ref="D10:D12"/>
    <mergeCell ref="E10:E12"/>
    <mergeCell ref="F10:F12"/>
    <mergeCell ref="G10:G12"/>
    <mergeCell ref="H7:H9"/>
    <mergeCell ref="I7:I9"/>
    <mergeCell ref="H13:H15"/>
    <mergeCell ref="I13:I15"/>
    <mergeCell ref="P4:P5"/>
    <mergeCell ref="A7:A9"/>
    <mergeCell ref="B7:B9"/>
    <mergeCell ref="C7:C9"/>
    <mergeCell ref="D7:D9"/>
    <mergeCell ref="E7:E9"/>
    <mergeCell ref="F7:F9"/>
    <mergeCell ref="G7:G9"/>
    <mergeCell ref="H4:H6"/>
    <mergeCell ref="I4:I6"/>
    <mergeCell ref="J4:J6"/>
    <mergeCell ref="K4:K6"/>
    <mergeCell ref="L4:L6"/>
    <mergeCell ref="M4:M6"/>
    <mergeCell ref="N7:N9"/>
    <mergeCell ref="O7:O9"/>
    <mergeCell ref="P7:P8"/>
    <mergeCell ref="J7:J9"/>
    <mergeCell ref="K7:K9"/>
    <mergeCell ref="L7:L9"/>
    <mergeCell ref="M7:M9"/>
    <mergeCell ref="N1:N3"/>
    <mergeCell ref="O1:O3"/>
    <mergeCell ref="P1:P3"/>
    <mergeCell ref="A4:A6"/>
    <mergeCell ref="B4:B6"/>
    <mergeCell ref="C4:C6"/>
    <mergeCell ref="D4:D6"/>
    <mergeCell ref="E4:E6"/>
    <mergeCell ref="F4:F6"/>
    <mergeCell ref="G4:G6"/>
    <mergeCell ref="H1:H3"/>
    <mergeCell ref="I1:I3"/>
    <mergeCell ref="J1:J3"/>
    <mergeCell ref="K1:K3"/>
    <mergeCell ref="L1:L3"/>
    <mergeCell ref="M1:M3"/>
    <mergeCell ref="B1:B3"/>
    <mergeCell ref="C1:C3"/>
    <mergeCell ref="D1:D3"/>
    <mergeCell ref="E1:E3"/>
    <mergeCell ref="F1:F3"/>
    <mergeCell ref="G1:G3"/>
    <mergeCell ref="N4:N6"/>
    <mergeCell ref="O4:O6"/>
  </mergeCells>
  <conditionalFormatting sqref="B4:K33">
    <cfRule type="cellIs" priority="2" operator="equal">
      <formula>""</formula>
    </cfRule>
    <cfRule type="expression" dxfId="61" priority="3" stopIfTrue="1">
      <formula>OFFSET($A$2,(COLUMN()-1)*3-1,(ROW()+2)/3-1,1,1)&lt;&gt;CONCATENATE(RIGHT(B4,1),MID(B4,2,1),LEFT(B4,1))</formula>
    </cfRule>
    <cfRule type="cellIs" dxfId="60" priority="4" stopIfTrue="1" operator="equal">
      <formula>0</formula>
    </cfRule>
  </conditionalFormatting>
  <conditionalFormatting sqref="P31 P28 P25 P22 P19 P16 P13 P10 P7 P4">
    <cfRule type="iconSet" priority="1">
      <iconSet iconSet="3Arrows" reverse="1">
        <cfvo type="percent" val="0"/>
        <cfvo type="num" val="2" gte="0"/>
        <cfvo type="num" val="MIN(($A$3-2),(MAX($P$4:$P$33)))"/>
      </iconSet>
    </cfRule>
  </conditionalFormatting>
  <dataValidations count="1">
    <dataValidation type="list" allowBlank="1" showInputMessage="1" showErrorMessage="1" sqref="B4:K33" xr:uid="{00000000-0002-0000-03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19" orientation="landscape" r:id="rId1"/>
  <headerFooter>
    <oddHeader>&amp;C&amp;A</oddHeader>
    <oddFooter>&amp;LPrepared by City Squash Club&amp;C&amp;F&amp;R&amp;D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0"/>
  <sheetViews>
    <sheetView zoomScale="80" zoomScaleNormal="80" workbookViewId="0">
      <selection activeCell="D47" sqref="D47"/>
    </sheetView>
  </sheetViews>
  <sheetFormatPr baseColWidth="10" defaultColWidth="8.83203125" defaultRowHeight="15"/>
  <cols>
    <col min="1" max="6" width="12.33203125" customWidth="1"/>
    <col min="7" max="8" width="12.1640625" customWidth="1"/>
    <col min="9" max="9" width="13" customWidth="1"/>
    <col min="10" max="10" width="0.5" customWidth="1"/>
    <col min="11" max="11" width="0.83203125" hidden="1" customWidth="1"/>
    <col min="12" max="12" width="9.1640625" customWidth="1"/>
    <col min="13" max="15" width="8.5" customWidth="1"/>
    <col min="16" max="16" width="10.6640625" customWidth="1"/>
    <col min="17" max="17" width="24.5" customWidth="1"/>
    <col min="18" max="18" width="10.6640625" style="4" customWidth="1"/>
  </cols>
  <sheetData>
    <row r="1" spans="1:19" ht="15.75" customHeight="1">
      <c r="A1" s="21"/>
      <c r="B1" s="98" t="str">
        <f t="shared" ref="B1:K1" ca="1" si="0">VLOOKUP(CONCATENATE(LEFT($A$2,1),COLUMN()-1),nevezettek,3,FALSE)</f>
        <v>Sákovics Péter</v>
      </c>
      <c r="C1" s="98" t="str">
        <f t="shared" ca="1" si="0"/>
        <v>Tóth István</v>
      </c>
      <c r="D1" s="98" t="str">
        <f t="shared" ca="1" si="0"/>
        <v>Kulcsár Sándor</v>
      </c>
      <c r="E1" s="98" t="str">
        <f t="shared" ca="1" si="0"/>
        <v>Bikali Balázs</v>
      </c>
      <c r="F1" s="98" t="str">
        <f t="shared" ca="1" si="0"/>
        <v>Markó Zoltán</v>
      </c>
      <c r="G1" s="98" t="str">
        <f t="shared" ca="1" si="0"/>
        <v>Czupor András</v>
      </c>
      <c r="H1" s="98" t="str">
        <f t="shared" ca="1" si="0"/>
        <v>Varga Lorena</v>
      </c>
      <c r="I1" s="98" t="str">
        <f t="shared" ca="1" si="0"/>
        <v>Kovács László</v>
      </c>
      <c r="J1" s="107">
        <f t="shared" ca="1" si="0"/>
        <v>0</v>
      </c>
      <c r="K1" s="107">
        <f t="shared" ca="1" si="0"/>
        <v>0</v>
      </c>
      <c r="L1" s="110" t="s">
        <v>31</v>
      </c>
      <c r="M1" s="113" t="s">
        <v>59</v>
      </c>
      <c r="N1" s="89" t="s">
        <v>58</v>
      </c>
      <c r="O1" s="92" t="s">
        <v>65</v>
      </c>
      <c r="P1" s="95" t="s">
        <v>167</v>
      </c>
      <c r="Q1" s="4"/>
    </row>
    <row r="2" spans="1:19">
      <c r="A2" s="22" t="str">
        <f ca="1">RIGHT(CELL("filename",A1),6)</f>
        <v>B liga</v>
      </c>
      <c r="B2" s="99"/>
      <c r="C2" s="99"/>
      <c r="D2" s="99"/>
      <c r="E2" s="99"/>
      <c r="F2" s="99"/>
      <c r="G2" s="99"/>
      <c r="H2" s="99"/>
      <c r="I2" s="99"/>
      <c r="J2" s="108"/>
      <c r="K2" s="108"/>
      <c r="L2" s="111"/>
      <c r="M2" s="114"/>
      <c r="N2" s="90"/>
      <c r="O2" s="93"/>
      <c r="P2" s="96"/>
      <c r="Q2" s="4"/>
    </row>
    <row r="3" spans="1:19">
      <c r="A3" s="23">
        <f ca="1">COUNTIF(Ligabeosztas!D:D,LEFT(A2,1))</f>
        <v>10</v>
      </c>
      <c r="B3" s="100"/>
      <c r="C3" s="100"/>
      <c r="D3" s="100"/>
      <c r="E3" s="100"/>
      <c r="F3" s="100"/>
      <c r="G3" s="100"/>
      <c r="H3" s="100"/>
      <c r="I3" s="100"/>
      <c r="J3" s="109"/>
      <c r="K3" s="109"/>
      <c r="L3" s="112"/>
      <c r="M3" s="115"/>
      <c r="N3" s="91"/>
      <c r="O3" s="94"/>
      <c r="P3" s="97"/>
      <c r="Q3" s="4"/>
      <c r="R3" s="24"/>
    </row>
    <row r="4" spans="1:19" ht="15" customHeight="1">
      <c r="A4" s="98" t="str">
        <f ca="1">B1</f>
        <v>Sákovics Péter</v>
      </c>
      <c r="B4" s="101"/>
      <c r="C4" s="104"/>
      <c r="D4" s="104"/>
      <c r="E4" s="104"/>
      <c r="F4" s="104"/>
      <c r="G4" s="104"/>
      <c r="H4" s="104"/>
      <c r="I4" s="104"/>
      <c r="J4" s="104"/>
      <c r="K4" s="124"/>
      <c r="L4" s="127">
        <f>5*(COUNTIF(B4:K6,"5/0")+COUNTIF(B4:K6,"4/1")+COUNTIF(B4:K6,"3/2")+COUNTIF(B4:K6,"5/-"))+3*COUNTIF(B4:K6,"2/3")+2*COUNTIF(B4:K6,"1/4")+COUNTIF(B4:K6,"0/5")+0.01*M4+0.0001*(N4)</f>
        <v>0</v>
      </c>
      <c r="M4" s="130">
        <f>1*COUNTIF(B4:K6,"5/0")+1*COUNTIF(B4:K6,"4/1")+1*COUNTIF(B4:K6,"3/2")+1*COUNTIF(B4:K6,"5/-")+0*COUNTIF(B4:K6,"2/3")+0*COUNTIF(B4:K6,"1/4")+0*COUNTIF(B4:K6,"0/5")</f>
        <v>0</v>
      </c>
      <c r="N4" s="116">
        <f>5*COUNTIF(B4:K6,"5/0")+4*COUNTIF(B4:K6,"4/1")+3*COUNTIF(B4:K6,"3/2")+5*COUNTIF(B4:K6,"5/-")+2*COUNTIF(B4:K6,"2/3")+1*COUNTIF(B4:K6,"1/4")+0*COUNTIF(B4:K6,"0/5")</f>
        <v>0</v>
      </c>
      <c r="O4" s="119">
        <f>0*COUNTIF(B4:K6,"5/0")+1*COUNTIF(B4:K6,"4/1")+2*COUNTIF(B4:K6,"3/2")+3*COUNTIF(B4:K6,"2/3")+4*COUNTIF(B4:K6,"1/4")+5*COUNTIF(B4:K6,"0/5")+5*COUNTIF(B4:K6,"-/5")</f>
        <v>0</v>
      </c>
      <c r="P4" s="133">
        <f>RANK(L4,L$4:L$33)</f>
        <v>1</v>
      </c>
      <c r="Q4" s="9"/>
    </row>
    <row r="5" spans="1:19">
      <c r="A5" s="99"/>
      <c r="B5" s="102"/>
      <c r="C5" s="105"/>
      <c r="D5" s="105"/>
      <c r="E5" s="105"/>
      <c r="F5" s="105"/>
      <c r="G5" s="105"/>
      <c r="H5" s="105"/>
      <c r="I5" s="105"/>
      <c r="J5" s="105"/>
      <c r="K5" s="125"/>
      <c r="L5" s="128"/>
      <c r="M5" s="131"/>
      <c r="N5" s="117"/>
      <c r="O5" s="120"/>
      <c r="P5" s="134"/>
      <c r="Q5" s="4"/>
    </row>
    <row r="6" spans="1:19">
      <c r="A6" s="100"/>
      <c r="B6" s="103"/>
      <c r="C6" s="106"/>
      <c r="D6" s="106"/>
      <c r="E6" s="106"/>
      <c r="F6" s="106"/>
      <c r="G6" s="106"/>
      <c r="H6" s="106"/>
      <c r="I6" s="106"/>
      <c r="J6" s="106"/>
      <c r="K6" s="126"/>
      <c r="L6" s="129"/>
      <c r="M6" s="132"/>
      <c r="N6" s="118"/>
      <c r="O6" s="121"/>
      <c r="P6" s="29">
        <f>IFERROR(L4/SUM(N4:O6),0)</f>
        <v>0</v>
      </c>
      <c r="Q6" s="10"/>
    </row>
    <row r="7" spans="1:19">
      <c r="A7" s="98" t="str">
        <f ca="1">C1</f>
        <v>Tóth István</v>
      </c>
      <c r="B7" s="104"/>
      <c r="C7" s="101"/>
      <c r="D7" s="104"/>
      <c r="E7" s="104"/>
      <c r="F7" s="104"/>
      <c r="G7" s="104"/>
      <c r="H7" s="104"/>
      <c r="I7" s="104"/>
      <c r="J7" s="104"/>
      <c r="K7" s="124"/>
      <c r="L7" s="127">
        <f t="shared" ref="L7" si="1">5*(COUNTIF(B7:K9,"5/0")+COUNTIF(B7:K9,"4/1")+COUNTIF(B7:K9,"3/2")+COUNTIF(B7:K9,"5/-"))+3*COUNTIF(B7:K9,"2/3")+2*COUNTIF(B7:K9,"1/4")+COUNTIF(B7:K9,"0/5")+0.01*M7+0.0001*(N7)</f>
        <v>0</v>
      </c>
      <c r="M7" s="130">
        <f>1*COUNTIF(B7:K9,"5/0")+1*COUNTIF(B7:K9,"4/1")+1*COUNTIF(B7:K9,"3/2")+1*COUNTIF(B7:K9,"5/-")+0*COUNTIF(B7:K9,"2/3")+0*COUNTIF(B7:K9,"1/4")+0*COUNTIF(B7:K9,"0/5")</f>
        <v>0</v>
      </c>
      <c r="N7" s="116">
        <f>5*COUNTIF(B7:K9,"5/0")+4*COUNTIF(B7:K9,"4/1")+3*COUNTIF(B7:K9,"3/2")+5*COUNTIF(B7:K9,"5/-")+2*COUNTIF(B7:K9,"2/3")+1*COUNTIF(B7:K9,"1/4")+0*COUNTIF(B7:K9,"0/5")</f>
        <v>0</v>
      </c>
      <c r="O7" s="119">
        <f>0*COUNTIF(B7:K9,"5/0")+1*COUNTIF(B7:K9,"4/1")+2*COUNTIF(B7:K9,"3/2")+3*COUNTIF(B7:K9,"2/3")+4*COUNTIF(B7:K9,"1/4")+5*COUNTIF(B7:K9,"0/5")+5*COUNTIF(B7:K9,"-/5")</f>
        <v>0</v>
      </c>
      <c r="P7" s="133">
        <f>RANK(L7,L$4:L$33)</f>
        <v>1</v>
      </c>
      <c r="Q7" s="10"/>
      <c r="S7" s="5"/>
    </row>
    <row r="8" spans="1:19">
      <c r="A8" s="99"/>
      <c r="B8" s="105"/>
      <c r="C8" s="102"/>
      <c r="D8" s="105"/>
      <c r="E8" s="105"/>
      <c r="F8" s="105"/>
      <c r="G8" s="105"/>
      <c r="H8" s="105"/>
      <c r="I8" s="105"/>
      <c r="J8" s="105"/>
      <c r="K8" s="125"/>
      <c r="L8" s="128"/>
      <c r="M8" s="131"/>
      <c r="N8" s="117"/>
      <c r="O8" s="120"/>
      <c r="P8" s="134"/>
      <c r="Q8" s="2"/>
      <c r="S8" s="5"/>
    </row>
    <row r="9" spans="1:19">
      <c r="A9" s="100"/>
      <c r="B9" s="106"/>
      <c r="C9" s="103"/>
      <c r="D9" s="106"/>
      <c r="E9" s="106"/>
      <c r="F9" s="106"/>
      <c r="G9" s="106"/>
      <c r="H9" s="106"/>
      <c r="I9" s="106"/>
      <c r="J9" s="106"/>
      <c r="K9" s="126"/>
      <c r="L9" s="129"/>
      <c r="M9" s="132"/>
      <c r="N9" s="118"/>
      <c r="O9" s="121"/>
      <c r="P9" s="29">
        <f>IFERROR(L7/SUM(N7:O9),0)</f>
        <v>0</v>
      </c>
      <c r="Q9" s="10"/>
      <c r="S9" s="8"/>
    </row>
    <row r="10" spans="1:19">
      <c r="A10" s="98" t="str">
        <f ca="1">D1</f>
        <v>Kulcsár Sándor</v>
      </c>
      <c r="B10" s="104"/>
      <c r="C10" s="104"/>
      <c r="D10" s="101"/>
      <c r="E10" s="104"/>
      <c r="F10" s="104"/>
      <c r="G10" s="104"/>
      <c r="H10" s="104"/>
      <c r="I10" s="104"/>
      <c r="J10" s="104"/>
      <c r="K10" s="124"/>
      <c r="L10" s="127">
        <f t="shared" ref="L10" si="2">5*(COUNTIF(B10:K12,"5/0")+COUNTIF(B10:K12,"4/1")+COUNTIF(B10:K12,"3/2")+COUNTIF(B10:K12,"5/-"))+3*COUNTIF(B10:K12,"2/3")+2*COUNTIF(B10:K12,"1/4")+COUNTIF(B10:K12,"0/5")+0.01*M10+0.0001*(N10)</f>
        <v>0</v>
      </c>
      <c r="M10" s="130">
        <f>1*COUNTIF(B10:K12,"5/0")+1*COUNTIF(B10:K12,"4/1")+1*COUNTIF(B10:K12,"3/2")+1*COUNTIF(B10:K12,"5/-")+0*COUNTIF(B10:K12,"2/3")+0*COUNTIF(B10:K12,"1/4")+0*COUNTIF(B10:K12,"0/5")</f>
        <v>0</v>
      </c>
      <c r="N10" s="116">
        <f>5*COUNTIF(B10:K12,"5/0")+4*COUNTIF(B10:K12,"4/1")+3*COUNTIF(B10:K12,"3/2")+5*COUNTIF(B10:K12,"5/-")+2*COUNTIF(B10:K12,"2/3")+1*COUNTIF(B10:K12,"1/4")+0*COUNTIF(B10:K12,"0/5")</f>
        <v>0</v>
      </c>
      <c r="O10" s="119">
        <f>0*COUNTIF(B10:K12,"5/0")+1*COUNTIF(B10:K12,"4/1")+2*COUNTIF(B10:K12,"3/2")+3*COUNTIF(B10:K12,"2/3")+4*COUNTIF(B10:K12,"1/4")+5*COUNTIF(B10:K12,"0/5")+5*COUNTIF(B10:K12,"-/5")</f>
        <v>0</v>
      </c>
      <c r="P10" s="133">
        <f>RANK(L10,L$4:L$33)</f>
        <v>1</v>
      </c>
      <c r="Q10" s="10"/>
    </row>
    <row r="11" spans="1:19">
      <c r="A11" s="99"/>
      <c r="B11" s="105"/>
      <c r="C11" s="105"/>
      <c r="D11" s="102"/>
      <c r="E11" s="105"/>
      <c r="F11" s="105"/>
      <c r="G11" s="105"/>
      <c r="H11" s="105"/>
      <c r="I11" s="105"/>
      <c r="J11" s="105"/>
      <c r="K11" s="125"/>
      <c r="L11" s="128"/>
      <c r="M11" s="131"/>
      <c r="N11" s="117"/>
      <c r="O11" s="120"/>
      <c r="P11" s="134"/>
      <c r="Q11" s="1"/>
      <c r="S11" s="6"/>
    </row>
    <row r="12" spans="1:19">
      <c r="A12" s="100"/>
      <c r="B12" s="106"/>
      <c r="C12" s="106"/>
      <c r="D12" s="103"/>
      <c r="E12" s="106"/>
      <c r="F12" s="106"/>
      <c r="G12" s="106"/>
      <c r="H12" s="106"/>
      <c r="I12" s="106"/>
      <c r="J12" s="106"/>
      <c r="K12" s="126"/>
      <c r="L12" s="129"/>
      <c r="M12" s="132"/>
      <c r="N12" s="118"/>
      <c r="O12" s="121"/>
      <c r="P12" s="29">
        <f>IFERROR(L10/SUM(N10:O12),0)</f>
        <v>0</v>
      </c>
      <c r="Q12" s="10"/>
    </row>
    <row r="13" spans="1:19">
      <c r="A13" s="98" t="str">
        <f ca="1">E1</f>
        <v>Bikali Balázs</v>
      </c>
      <c r="B13" s="104"/>
      <c r="C13" s="104"/>
      <c r="D13" s="104"/>
      <c r="E13" s="101"/>
      <c r="F13" s="104"/>
      <c r="G13" s="104"/>
      <c r="H13" s="104"/>
      <c r="I13" s="104"/>
      <c r="J13" s="104"/>
      <c r="K13" s="124"/>
      <c r="L13" s="127">
        <f t="shared" ref="L13" si="3">5*(COUNTIF(B13:K15,"5/0")+COUNTIF(B13:K15,"4/1")+COUNTIF(B13:K15,"3/2")+COUNTIF(B13:K15,"5/-"))+3*COUNTIF(B13:K15,"2/3")+2*COUNTIF(B13:K15,"1/4")+COUNTIF(B13:K15,"0/5")+0.01*M13+0.0001*(N13)</f>
        <v>0</v>
      </c>
      <c r="M13" s="130">
        <f>1*COUNTIF(B13:K15,"5/0")+1*COUNTIF(B13:K15,"4/1")+1*COUNTIF(B13:K15,"3/2")+1*COUNTIF(B13:K15,"5/-")+0*COUNTIF(B13:K15,"2/3")+0*COUNTIF(B13:K15,"1/4")+0*COUNTIF(B13:K15,"0/5")</f>
        <v>0</v>
      </c>
      <c r="N13" s="116">
        <f>5*COUNTIF(B13:K15,"5/0")+4*COUNTIF(B13:K15,"4/1")+3*COUNTIF(B13:K15,"3/2")+5*COUNTIF(B13:K15,"5/-")+2*COUNTIF(B13:K15,"2/3")+1*COUNTIF(B13:K15,"1/4")+0*COUNTIF(B13:K15,"0/5")</f>
        <v>0</v>
      </c>
      <c r="O13" s="119">
        <f>0*COUNTIF(B13:K15,"5/0")+1*COUNTIF(B13:K15,"4/1")+2*COUNTIF(B13:K15,"3/2")+3*COUNTIF(B13:K15,"2/3")+4*COUNTIF(B13:K15,"1/4")+5*COUNTIF(B13:K15,"0/5")+5*COUNTIF(B13:K15,"-/5")</f>
        <v>0</v>
      </c>
      <c r="P13" s="133">
        <f>RANK(L13,L$4:L$33)</f>
        <v>1</v>
      </c>
      <c r="Q13" s="10"/>
    </row>
    <row r="14" spans="1:19">
      <c r="A14" s="99"/>
      <c r="B14" s="105"/>
      <c r="C14" s="105"/>
      <c r="D14" s="105"/>
      <c r="E14" s="102"/>
      <c r="F14" s="105"/>
      <c r="G14" s="105"/>
      <c r="H14" s="105"/>
      <c r="I14" s="105"/>
      <c r="J14" s="105"/>
      <c r="K14" s="125"/>
      <c r="L14" s="128"/>
      <c r="M14" s="131"/>
      <c r="N14" s="117"/>
      <c r="O14" s="120"/>
      <c r="P14" s="134"/>
      <c r="Q14" s="4"/>
      <c r="S14" s="6"/>
    </row>
    <row r="15" spans="1:19">
      <c r="A15" s="100"/>
      <c r="B15" s="106"/>
      <c r="C15" s="106"/>
      <c r="D15" s="106"/>
      <c r="E15" s="103"/>
      <c r="F15" s="106"/>
      <c r="G15" s="106"/>
      <c r="H15" s="106"/>
      <c r="I15" s="106"/>
      <c r="J15" s="106"/>
      <c r="K15" s="126"/>
      <c r="L15" s="129"/>
      <c r="M15" s="132"/>
      <c r="N15" s="118"/>
      <c r="O15" s="121"/>
      <c r="P15" s="29">
        <f>IFERROR(L13/SUM(N13:O15),0)</f>
        <v>0</v>
      </c>
      <c r="Q15" s="10"/>
    </row>
    <row r="16" spans="1:19">
      <c r="A16" s="98" t="str">
        <f ca="1">F1</f>
        <v>Markó Zoltán</v>
      </c>
      <c r="B16" s="104"/>
      <c r="C16" s="104"/>
      <c r="D16" s="104"/>
      <c r="E16" s="104"/>
      <c r="F16" s="101"/>
      <c r="G16" s="104"/>
      <c r="H16" s="104"/>
      <c r="I16" s="104"/>
      <c r="J16" s="104"/>
      <c r="K16" s="124"/>
      <c r="L16" s="127">
        <f t="shared" ref="L16" si="4">5*(COUNTIF(B16:K18,"5/0")+COUNTIF(B16:K18,"4/1")+COUNTIF(B16:K18,"3/2")+COUNTIF(B16:K18,"5/-"))+3*COUNTIF(B16:K18,"2/3")+2*COUNTIF(B16:K18,"1/4")+COUNTIF(B16:K18,"0/5")+0.01*M16+0.0001*(N16)</f>
        <v>0</v>
      </c>
      <c r="M16" s="130">
        <f>1*COUNTIF(B16:K18,"5/0")+1*COUNTIF(B16:K18,"4/1")+1*COUNTIF(B16:K18,"3/2")+1*COUNTIF(B16:K18,"5/-")+0*COUNTIF(B16:K18,"2/3")+0*COUNTIF(B16:K18,"1/4")+0*COUNTIF(B16:K18,"0/5")</f>
        <v>0</v>
      </c>
      <c r="N16" s="116">
        <f>5*COUNTIF(B16:K18,"5/0")+4*COUNTIF(B16:K18,"4/1")+3*COUNTIF(B16:K18,"3/2")+5*COUNTIF(B16:K18,"5/-")+2*COUNTIF(B16:K18,"2/3")+1*COUNTIF(B16:K18,"1/4")+0*COUNTIF(B16:K18,"0/5")</f>
        <v>0</v>
      </c>
      <c r="O16" s="119">
        <f>0*COUNTIF(B16:K18,"5/0")+1*COUNTIF(B16:K18,"4/1")+2*COUNTIF(B16:K18,"3/2")+3*COUNTIF(B16:K18,"2/3")+4*COUNTIF(B16:K18,"1/4")+5*COUNTIF(B16:K18,"0/5")+5*COUNTIF(B16:K18,"-/5")</f>
        <v>0</v>
      </c>
      <c r="P16" s="133">
        <f>RANK(L16,L$4:L$33)</f>
        <v>1</v>
      </c>
      <c r="Q16" s="10"/>
    </row>
    <row r="17" spans="1:21">
      <c r="A17" s="99"/>
      <c r="B17" s="105"/>
      <c r="C17" s="105"/>
      <c r="D17" s="105"/>
      <c r="E17" s="105"/>
      <c r="F17" s="102"/>
      <c r="G17" s="105"/>
      <c r="H17" s="105"/>
      <c r="I17" s="105"/>
      <c r="J17" s="105"/>
      <c r="K17" s="125"/>
      <c r="L17" s="128"/>
      <c r="M17" s="131"/>
      <c r="N17" s="117"/>
      <c r="O17" s="120"/>
      <c r="P17" s="134"/>
      <c r="Q17" s="4"/>
    </row>
    <row r="18" spans="1:21">
      <c r="A18" s="100"/>
      <c r="B18" s="106"/>
      <c r="C18" s="106"/>
      <c r="D18" s="106"/>
      <c r="E18" s="106"/>
      <c r="F18" s="103"/>
      <c r="G18" s="106"/>
      <c r="H18" s="106"/>
      <c r="I18" s="106"/>
      <c r="J18" s="106"/>
      <c r="K18" s="126"/>
      <c r="L18" s="129"/>
      <c r="M18" s="132"/>
      <c r="N18" s="118"/>
      <c r="O18" s="121"/>
      <c r="P18" s="29">
        <f>IFERROR(L16/SUM(N16:O18),0)</f>
        <v>0</v>
      </c>
      <c r="Q18" s="10"/>
    </row>
    <row r="19" spans="1:21">
      <c r="A19" s="98" t="str">
        <f ca="1">G1</f>
        <v>Czupor András</v>
      </c>
      <c r="B19" s="104"/>
      <c r="C19" s="104"/>
      <c r="D19" s="104"/>
      <c r="E19" s="104"/>
      <c r="F19" s="104"/>
      <c r="G19" s="101"/>
      <c r="H19" s="104"/>
      <c r="I19" s="104"/>
      <c r="J19" s="104"/>
      <c r="K19" s="124"/>
      <c r="L19" s="127">
        <f t="shared" ref="L19" si="5">5*(COUNTIF(B19:K21,"5/0")+COUNTIF(B19:K21,"4/1")+COUNTIF(B19:K21,"3/2")+COUNTIF(B19:K21,"5/-"))+3*COUNTIF(B19:K21,"2/3")+2*COUNTIF(B19:K21,"1/4")+COUNTIF(B19:K21,"0/5")+0.01*M19+0.0001*(N19)</f>
        <v>0</v>
      </c>
      <c r="M19" s="130">
        <f>1*COUNTIF(B19:K21,"5/0")+1*COUNTIF(B19:K21,"4/1")+1*COUNTIF(B19:K21,"3/2")+1*COUNTIF(B19:K21,"5/-")+0*COUNTIF(B19:K21,"2/3")+0*COUNTIF(B19:K21,"1/4")+0*COUNTIF(B19:K21,"0/5")</f>
        <v>0</v>
      </c>
      <c r="N19" s="116">
        <f>5*COUNTIF(B19:K21,"5/0")+4*COUNTIF(B19:K21,"4/1")+3*COUNTIF(B19:K21,"3/2")+5*COUNTIF(B19:K21,"5/-")+2*COUNTIF(B19:K21,"2/3")+1*COUNTIF(B19:K21,"1/4")+0*COUNTIF(B19:K21,"0/5")</f>
        <v>0</v>
      </c>
      <c r="O19" s="119">
        <f>0*COUNTIF(B19:K21,"5/0")+1*COUNTIF(B19:K21,"4/1")+2*COUNTIF(B19:K21,"3/2")+3*COUNTIF(B19:K21,"2/3")+4*COUNTIF(B19:K21,"1/4")+5*COUNTIF(B19:K21,"0/5")+5*COUNTIF(B19:K21,"-/5")</f>
        <v>0</v>
      </c>
      <c r="P19" s="133">
        <f>RANK(L19,L$4:L$33)</f>
        <v>1</v>
      </c>
      <c r="Q19" s="10"/>
      <c r="S19" s="5"/>
    </row>
    <row r="20" spans="1:21">
      <c r="A20" s="99"/>
      <c r="B20" s="105"/>
      <c r="C20" s="105"/>
      <c r="D20" s="105"/>
      <c r="E20" s="105"/>
      <c r="F20" s="105"/>
      <c r="G20" s="102"/>
      <c r="H20" s="105"/>
      <c r="I20" s="105"/>
      <c r="J20" s="105"/>
      <c r="K20" s="125"/>
      <c r="L20" s="128"/>
      <c r="M20" s="131"/>
      <c r="N20" s="117"/>
      <c r="O20" s="120"/>
      <c r="P20" s="134"/>
      <c r="Q20" s="1"/>
      <c r="S20" s="5"/>
    </row>
    <row r="21" spans="1:21">
      <c r="A21" s="100"/>
      <c r="B21" s="106"/>
      <c r="C21" s="106"/>
      <c r="D21" s="106"/>
      <c r="E21" s="106"/>
      <c r="F21" s="106"/>
      <c r="G21" s="103"/>
      <c r="H21" s="106"/>
      <c r="I21" s="106"/>
      <c r="J21" s="106"/>
      <c r="K21" s="126"/>
      <c r="L21" s="129"/>
      <c r="M21" s="132"/>
      <c r="N21" s="118"/>
      <c r="O21" s="121"/>
      <c r="P21" s="29">
        <f>IFERROR(L19/SUM(N19:O21),0)</f>
        <v>0</v>
      </c>
      <c r="Q21" s="10"/>
    </row>
    <row r="22" spans="1:21" ht="13.25" customHeight="1">
      <c r="A22" s="98" t="str">
        <f ca="1">H1</f>
        <v>Varga Lorena</v>
      </c>
      <c r="B22" s="104"/>
      <c r="C22" s="104"/>
      <c r="D22" s="104"/>
      <c r="E22" s="104"/>
      <c r="F22" s="104"/>
      <c r="G22" s="104"/>
      <c r="H22" s="101"/>
      <c r="I22" s="104"/>
      <c r="J22" s="104"/>
      <c r="K22" s="124"/>
      <c r="L22" s="127">
        <f t="shared" ref="L22" si="6">5*(COUNTIF(B22:K24,"5/0")+COUNTIF(B22:K24,"4/1")+COUNTIF(B22:K24,"3/2")+COUNTIF(B22:K24,"5/-"))+3*COUNTIF(B22:K24,"2/3")+2*COUNTIF(B22:K24,"1/4")+COUNTIF(B22:K24,"0/5")+0.01*M22+0.0001*(N22)</f>
        <v>0</v>
      </c>
      <c r="M22" s="130">
        <f>1*COUNTIF(B22:K24,"5/0")+1*COUNTIF(B22:K24,"4/1")+1*COUNTIF(B22:K24,"3/2")+1*COUNTIF(B22:K24,"5/-")+0*COUNTIF(B22:K24,"2/3")+0*COUNTIF(B22:K24,"1/4")+0*COUNTIF(B22:K24,"0/5")</f>
        <v>0</v>
      </c>
      <c r="N22" s="116">
        <f>5*COUNTIF(B22:K24,"5/0")+4*COUNTIF(B22:K24,"4/1")+3*COUNTIF(B22:K24,"3/2")+5*COUNTIF(B22:K24,"5/-")+2*COUNTIF(B22:K24,"2/3")+1*COUNTIF(B22:K24,"1/4")+0*COUNTIF(B22:K24,"0/5")</f>
        <v>0</v>
      </c>
      <c r="O22" s="119">
        <f>0*COUNTIF(B22:K24,"5/0")+1*COUNTIF(B22:K24,"4/1")+2*COUNTIF(B22:K24,"3/2")+3*COUNTIF(B22:K24,"2/3")+4*COUNTIF(B22:K24,"1/4")+5*COUNTIF(B22:K24,"0/5")+5*COUNTIF(B22:K24,"-/5")</f>
        <v>0</v>
      </c>
      <c r="P22" s="133">
        <f>RANK(L22,L$4:L$33)</f>
        <v>1</v>
      </c>
      <c r="Q22" s="10"/>
    </row>
    <row r="23" spans="1:21" ht="13.75" customHeight="1">
      <c r="A23" s="99"/>
      <c r="B23" s="105"/>
      <c r="C23" s="105"/>
      <c r="D23" s="105"/>
      <c r="E23" s="105"/>
      <c r="F23" s="105"/>
      <c r="G23" s="105"/>
      <c r="H23" s="102"/>
      <c r="I23" s="105"/>
      <c r="J23" s="105"/>
      <c r="K23" s="125"/>
      <c r="L23" s="128"/>
      <c r="M23" s="131"/>
      <c r="N23" s="117"/>
      <c r="O23" s="120"/>
      <c r="P23" s="134"/>
      <c r="Q23" s="1"/>
      <c r="S23" s="7"/>
      <c r="U23" s="3"/>
    </row>
    <row r="24" spans="1:21" ht="12" customHeight="1">
      <c r="A24" s="100"/>
      <c r="B24" s="106"/>
      <c r="C24" s="106"/>
      <c r="D24" s="106"/>
      <c r="E24" s="106"/>
      <c r="F24" s="106"/>
      <c r="G24" s="106"/>
      <c r="H24" s="103"/>
      <c r="I24" s="106"/>
      <c r="J24" s="106"/>
      <c r="K24" s="126"/>
      <c r="L24" s="129"/>
      <c r="M24" s="132"/>
      <c r="N24" s="118"/>
      <c r="O24" s="121"/>
      <c r="P24" s="29">
        <f>IFERROR(L22/SUM(N22:O24),0)</f>
        <v>0</v>
      </c>
      <c r="Q24" s="10"/>
    </row>
    <row r="25" spans="1:21" ht="15.5" customHeight="1">
      <c r="A25" s="98" t="str">
        <f ca="1">I1</f>
        <v>Kovács László</v>
      </c>
      <c r="B25" s="104"/>
      <c r="C25" s="104"/>
      <c r="D25" s="104"/>
      <c r="E25" s="104"/>
      <c r="F25" s="104"/>
      <c r="G25" s="104"/>
      <c r="H25" s="104"/>
      <c r="I25" s="101"/>
      <c r="J25" s="104"/>
      <c r="K25" s="124"/>
      <c r="L25" s="127">
        <f t="shared" ref="L25" si="7">5*(COUNTIF(B25:K27,"5/0")+COUNTIF(B25:K27,"4/1")+COUNTIF(B25:K27,"3/2")+COUNTIF(B25:K27,"5/-"))+3*COUNTIF(B25:K27,"2/3")+2*COUNTIF(B25:K27,"1/4")+COUNTIF(B25:K27,"0/5")+0.01*M25+0.0001*(N25)</f>
        <v>0</v>
      </c>
      <c r="M25" s="130">
        <f>1*COUNTIF(B25:K27,"5/0")+1*COUNTIF(B25:K27,"4/1")+1*COUNTIF(B25:K27,"3/2")+1*COUNTIF(B25:K27,"5/-")+0*COUNTIF(B25:K27,"2/3")+0*COUNTIF(B25:K27,"1/4")+0*COUNTIF(B25:K27,"0/5")</f>
        <v>0</v>
      </c>
      <c r="N25" s="116">
        <f>5*COUNTIF(B25:K27,"5/0")+4*COUNTIF(B25:K27,"4/1")+3*COUNTIF(B25:K27,"3/2")+5*COUNTIF(B25:K27,"5/-")+2*COUNTIF(B25:K27,"2/3")+1*COUNTIF(B25:K27,"1/4")+0*COUNTIF(B25:K27,"0/5")</f>
        <v>0</v>
      </c>
      <c r="O25" s="119">
        <f>0*COUNTIF(B25:K27,"5/0")+1*COUNTIF(B25:K27,"4/1")+2*COUNTIF(B25:K27,"3/2")+3*COUNTIF(B25:K27,"2/3")+4*COUNTIF(B25:K27,"1/4")+5*COUNTIF(B25:K27,"0/5")+5*COUNTIF(B25:K27,"-/5")</f>
        <v>0</v>
      </c>
      <c r="P25" s="133">
        <f>RANK(L25,L$4:L$33)</f>
        <v>1</v>
      </c>
      <c r="Q25" s="10"/>
    </row>
    <row r="26" spans="1:21" ht="13.25" customHeight="1">
      <c r="A26" s="99"/>
      <c r="B26" s="105"/>
      <c r="C26" s="105"/>
      <c r="D26" s="105"/>
      <c r="E26" s="105"/>
      <c r="F26" s="105"/>
      <c r="G26" s="105"/>
      <c r="H26" s="105"/>
      <c r="I26" s="102"/>
      <c r="J26" s="105"/>
      <c r="K26" s="125"/>
      <c r="L26" s="128"/>
      <c r="M26" s="131"/>
      <c r="N26" s="117"/>
      <c r="O26" s="120"/>
      <c r="P26" s="134"/>
      <c r="Q26" s="2"/>
    </row>
    <row r="27" spans="1:21" ht="13.75" customHeight="1">
      <c r="A27" s="100"/>
      <c r="B27" s="106"/>
      <c r="C27" s="106"/>
      <c r="D27" s="106"/>
      <c r="E27" s="106"/>
      <c r="F27" s="106"/>
      <c r="G27" s="106"/>
      <c r="H27" s="106"/>
      <c r="I27" s="103"/>
      <c r="J27" s="106"/>
      <c r="K27" s="126"/>
      <c r="L27" s="129"/>
      <c r="M27" s="132"/>
      <c r="N27" s="118"/>
      <c r="O27" s="121"/>
      <c r="P27" s="29">
        <f>IFERROR(L25/SUM(N25:O27),0)</f>
        <v>0</v>
      </c>
      <c r="Q27" s="10"/>
    </row>
    <row r="28" spans="1:21" ht="1.25" customHeight="1">
      <c r="A28" s="98">
        <f ca="1">J1</f>
        <v>0</v>
      </c>
      <c r="B28" s="104"/>
      <c r="C28" s="104"/>
      <c r="D28" s="104"/>
      <c r="E28" s="104"/>
      <c r="F28" s="104"/>
      <c r="G28" s="104"/>
      <c r="H28" s="104"/>
      <c r="I28" s="104"/>
      <c r="J28" s="101"/>
      <c r="K28" s="124"/>
      <c r="L28" s="127">
        <f t="shared" ref="L28" si="8">5*(COUNTIF(B28:K30,"5/0")+COUNTIF(B28:K30,"4/1")+COUNTIF(B28:K30,"3/2")+COUNTIF(B28:K30,"5/-"))+3*COUNTIF(B28:K30,"2/3")+2*COUNTIF(B28:K30,"1/4")+COUNTIF(B28:K30,"0/5")+0.01*M28+0.0001*(N28)</f>
        <v>0</v>
      </c>
      <c r="M28" s="130">
        <f>1*COUNTIF(B28:K30,"5/0")+1*COUNTIF(B28:K30,"4/1")+1*COUNTIF(B28:K30,"3/2")+1*COUNTIF(B28:K30,"5/-")+0*COUNTIF(B28:K30,"2/3")+0*COUNTIF(B28:K30,"1/4")+0*COUNTIF(B28:K30,"0/5")</f>
        <v>0</v>
      </c>
      <c r="N28" s="116">
        <f>5*COUNTIF(B28:K30,"5/0")+4*COUNTIF(B28:K30,"4/1")+3*COUNTIF(B28:K30,"3/2")+5*COUNTIF(B28:K30,"5/-")+2*COUNTIF(B28:K30,"2/3")+1*COUNTIF(B28:K30,"1/4")+0*COUNTIF(B28:K30,"0/5")</f>
        <v>0</v>
      </c>
      <c r="O28" s="119">
        <f>0*COUNTIF(B28:K30,"5/0")+1*COUNTIF(B28:K30,"4/1")+2*COUNTIF(B28:K30,"3/2")+3*COUNTIF(B28:K30,"2/3")+4*COUNTIF(B28:K30,"1/4")+5*COUNTIF(B28:K30,"0/5")+5*COUNTIF(B28:K30,"-/5")</f>
        <v>0</v>
      </c>
      <c r="P28" s="122">
        <f>RANK(L28,L$4:L$33)</f>
        <v>1</v>
      </c>
      <c r="Q28" s="10"/>
    </row>
    <row r="29" spans="1:21" ht="22.25" hidden="1" customHeight="1">
      <c r="A29" s="99"/>
      <c r="B29" s="105"/>
      <c r="C29" s="105"/>
      <c r="D29" s="105"/>
      <c r="E29" s="105"/>
      <c r="F29" s="105"/>
      <c r="G29" s="105"/>
      <c r="H29" s="105"/>
      <c r="I29" s="105"/>
      <c r="J29" s="102"/>
      <c r="K29" s="125"/>
      <c r="L29" s="128"/>
      <c r="M29" s="131"/>
      <c r="N29" s="117"/>
      <c r="O29" s="120"/>
      <c r="P29" s="123"/>
      <c r="Q29" s="2"/>
    </row>
    <row r="30" spans="1:21" ht="18.5" hidden="1" customHeight="1">
      <c r="A30" s="100"/>
      <c r="B30" s="106"/>
      <c r="C30" s="106"/>
      <c r="D30" s="106"/>
      <c r="E30" s="106"/>
      <c r="F30" s="106"/>
      <c r="G30" s="106"/>
      <c r="H30" s="106"/>
      <c r="I30" s="106"/>
      <c r="J30" s="103"/>
      <c r="K30" s="126"/>
      <c r="L30" s="129"/>
      <c r="M30" s="132"/>
      <c r="N30" s="118"/>
      <c r="O30" s="121"/>
      <c r="P30" s="51">
        <f>IFERROR(L28/SUM(N28:O30),0)</f>
        <v>0</v>
      </c>
      <c r="Q30" s="10"/>
    </row>
    <row r="31" spans="1:21" ht="24.5" hidden="1" customHeight="1">
      <c r="A31" s="98">
        <f ca="1">K1</f>
        <v>0</v>
      </c>
      <c r="B31" s="104"/>
      <c r="C31" s="104"/>
      <c r="D31" s="104"/>
      <c r="E31" s="104"/>
      <c r="F31" s="104"/>
      <c r="G31" s="104"/>
      <c r="H31" s="104"/>
      <c r="I31" s="104"/>
      <c r="J31" s="104"/>
      <c r="K31" s="101"/>
      <c r="L31" s="127">
        <f t="shared" ref="L31" si="9">5*(COUNTIF(B31:K33,"5/0")+COUNTIF(B31:K33,"4/1")+COUNTIF(B31:K33,"3/2")+COUNTIF(B31:K33,"5/-"))+3*COUNTIF(B31:K33,"2/3")+2*COUNTIF(B31:K33,"1/4")+COUNTIF(B31:K33,"0/5")+0.01*M31+0.0001*(N31)</f>
        <v>0</v>
      </c>
      <c r="M31" s="130">
        <f>1*COUNTIF(B31:K33,"5/0")+1*COUNTIF(B31:K33,"4/1")+1*COUNTIF(B31:K33,"3/2")+1*COUNTIF(B31:K33,"5/-")+0*COUNTIF(B31:K33,"2/3")+0*COUNTIF(B31:K33,"1/4")+0*COUNTIF(B31:K33,"0/5")</f>
        <v>0</v>
      </c>
      <c r="N31" s="116">
        <f>5*COUNTIF(B31:K33,"5/0")+4*COUNTIF(B31:K33,"4/1")+3*COUNTIF(B31:K33,"3/2")+5*COUNTIF(B31:K33,"5/-")+2*COUNTIF(B31:K33,"2/3")+1*COUNTIF(B31:K33,"1/4")+0*COUNTIF(B31:K33,"0/5")</f>
        <v>0</v>
      </c>
      <c r="O31" s="119">
        <f>0*COUNTIF(B31:K33,"5/0")+1*COUNTIF(B31:K33,"4/1")+2*COUNTIF(B31:K33,"3/2")+3*COUNTIF(B31:K33,"2/3")+4*COUNTIF(B31:K33,"1/4")+5*COUNTIF(B31:K33,"0/5")+5*COUNTIF(B31:K33,"-/5")</f>
        <v>0</v>
      </c>
      <c r="P31" s="122">
        <f>RANK(L31,L$4:L$33)</f>
        <v>1</v>
      </c>
      <c r="Q31" s="10"/>
    </row>
    <row r="32" spans="1:21" ht="12.5" hidden="1" customHeight="1">
      <c r="A32" s="99"/>
      <c r="B32" s="105"/>
      <c r="C32" s="105"/>
      <c r="D32" s="105"/>
      <c r="E32" s="105"/>
      <c r="F32" s="105"/>
      <c r="G32" s="105"/>
      <c r="H32" s="105"/>
      <c r="I32" s="105"/>
      <c r="J32" s="105"/>
      <c r="K32" s="102"/>
      <c r="L32" s="128"/>
      <c r="M32" s="131"/>
      <c r="N32" s="117"/>
      <c r="O32" s="120"/>
      <c r="P32" s="123"/>
      <c r="Q32" s="2"/>
    </row>
    <row r="33" spans="1:17" ht="15.5" hidden="1" customHeight="1">
      <c r="A33" s="100"/>
      <c r="B33" s="106"/>
      <c r="C33" s="106"/>
      <c r="D33" s="106"/>
      <c r="E33" s="106"/>
      <c r="F33" s="106"/>
      <c r="G33" s="106"/>
      <c r="H33" s="106"/>
      <c r="I33" s="106"/>
      <c r="J33" s="106"/>
      <c r="K33" s="103"/>
      <c r="L33" s="129"/>
      <c r="M33" s="132"/>
      <c r="N33" s="118"/>
      <c r="O33" s="121"/>
      <c r="P33" s="51">
        <f>IFERROR(L31/SUM(N31:O33),0)</f>
        <v>0</v>
      </c>
      <c r="Q33" s="10"/>
    </row>
    <row r="34" spans="1:17">
      <c r="F34" s="4"/>
      <c r="G34" s="4"/>
      <c r="H34" s="4"/>
      <c r="I34" s="4"/>
      <c r="J34" s="4"/>
      <c r="K34" s="4"/>
      <c r="L34" s="4"/>
      <c r="M34" s="4"/>
      <c r="N34" s="4"/>
      <c r="O34" s="4"/>
      <c r="P34" s="4"/>
      <c r="Q34" s="4"/>
    </row>
    <row r="35" spans="1:17">
      <c r="Q35" s="10"/>
    </row>
    <row r="36" spans="1:17">
      <c r="Q36" s="10"/>
    </row>
    <row r="37" spans="1:17">
      <c r="Q37" s="10"/>
    </row>
    <row r="38" spans="1:17">
      <c r="Q38" s="10"/>
    </row>
    <row r="39" spans="1:17">
      <c r="Q39" s="10"/>
    </row>
    <row r="40" spans="1:17">
      <c r="Q40" s="10"/>
    </row>
  </sheetData>
  <mergeCells count="175">
    <mergeCell ref="H28:H30"/>
    <mergeCell ref="H25:H27"/>
    <mergeCell ref="P28:P29"/>
    <mergeCell ref="I28:I30"/>
    <mergeCell ref="J28:J30"/>
    <mergeCell ref="L28:L30"/>
    <mergeCell ref="M28:M30"/>
    <mergeCell ref="N28:N30"/>
    <mergeCell ref="O28:O30"/>
    <mergeCell ref="O25:O27"/>
    <mergeCell ref="P25:P26"/>
    <mergeCell ref="I25:I27"/>
    <mergeCell ref="J25:J27"/>
    <mergeCell ref="L25:L27"/>
    <mergeCell ref="M25:M27"/>
    <mergeCell ref="N25:N27"/>
    <mergeCell ref="K28:K30"/>
    <mergeCell ref="E22:E24"/>
    <mergeCell ref="F22:F24"/>
    <mergeCell ref="A28:A30"/>
    <mergeCell ref="B28:B30"/>
    <mergeCell ref="C28:C30"/>
    <mergeCell ref="D28:D30"/>
    <mergeCell ref="E28:E30"/>
    <mergeCell ref="F28:F30"/>
    <mergeCell ref="G28:G30"/>
    <mergeCell ref="C16:C18"/>
    <mergeCell ref="D16:D18"/>
    <mergeCell ref="E16:E18"/>
    <mergeCell ref="F16:F18"/>
    <mergeCell ref="N22:N24"/>
    <mergeCell ref="O22:O24"/>
    <mergeCell ref="P22:P23"/>
    <mergeCell ref="A25:A27"/>
    <mergeCell ref="B25:B27"/>
    <mergeCell ref="C25:C27"/>
    <mergeCell ref="D25:D27"/>
    <mergeCell ref="E25:E27"/>
    <mergeCell ref="F25:F27"/>
    <mergeCell ref="G25:G27"/>
    <mergeCell ref="G22:G24"/>
    <mergeCell ref="H22:H24"/>
    <mergeCell ref="I22:I24"/>
    <mergeCell ref="J22:J24"/>
    <mergeCell ref="L22:L24"/>
    <mergeCell ref="M22:M24"/>
    <mergeCell ref="A22:A24"/>
    <mergeCell ref="B22:B24"/>
    <mergeCell ref="C22:C24"/>
    <mergeCell ref="D22:D24"/>
    <mergeCell ref="J19:J21"/>
    <mergeCell ref="L19:L21"/>
    <mergeCell ref="M19:M21"/>
    <mergeCell ref="N19:N21"/>
    <mergeCell ref="O19:O21"/>
    <mergeCell ref="P19:P20"/>
    <mergeCell ref="P16:P17"/>
    <mergeCell ref="A19:A21"/>
    <mergeCell ref="B19:B21"/>
    <mergeCell ref="C19:C21"/>
    <mergeCell ref="D19:D21"/>
    <mergeCell ref="E19:E21"/>
    <mergeCell ref="F19:F21"/>
    <mergeCell ref="G19:G21"/>
    <mergeCell ref="H19:H21"/>
    <mergeCell ref="I19:I21"/>
    <mergeCell ref="I16:I18"/>
    <mergeCell ref="J16:J18"/>
    <mergeCell ref="L16:L18"/>
    <mergeCell ref="M16:M18"/>
    <mergeCell ref="N16:N18"/>
    <mergeCell ref="O16:O18"/>
    <mergeCell ref="A16:A18"/>
    <mergeCell ref="B16:B18"/>
    <mergeCell ref="G16:G18"/>
    <mergeCell ref="H16:H18"/>
    <mergeCell ref="H13:H15"/>
    <mergeCell ref="N10:N12"/>
    <mergeCell ref="O10:O12"/>
    <mergeCell ref="P10:P11"/>
    <mergeCell ref="A13:A15"/>
    <mergeCell ref="B13:B15"/>
    <mergeCell ref="C13:C15"/>
    <mergeCell ref="D13:D15"/>
    <mergeCell ref="E13:E15"/>
    <mergeCell ref="F13:F15"/>
    <mergeCell ref="G13:G15"/>
    <mergeCell ref="G10:G12"/>
    <mergeCell ref="H10:H12"/>
    <mergeCell ref="I10:I12"/>
    <mergeCell ref="J10:J12"/>
    <mergeCell ref="L10:L12"/>
    <mergeCell ref="M10:M12"/>
    <mergeCell ref="A10:A12"/>
    <mergeCell ref="B10:B12"/>
    <mergeCell ref="C10:C12"/>
    <mergeCell ref="D10:D12"/>
    <mergeCell ref="E10:E12"/>
    <mergeCell ref="J4:J6"/>
    <mergeCell ref="L4:L6"/>
    <mergeCell ref="M4:M6"/>
    <mergeCell ref="N4:N6"/>
    <mergeCell ref="O4:O6"/>
    <mergeCell ref="F10:F12"/>
    <mergeCell ref="O13:O15"/>
    <mergeCell ref="P13:P14"/>
    <mergeCell ref="J7:J9"/>
    <mergeCell ref="L7:L9"/>
    <mergeCell ref="M7:M9"/>
    <mergeCell ref="N7:N9"/>
    <mergeCell ref="O7:O9"/>
    <mergeCell ref="P7:P8"/>
    <mergeCell ref="I13:I15"/>
    <mergeCell ref="J13:J15"/>
    <mergeCell ref="L13:L15"/>
    <mergeCell ref="M13:M15"/>
    <mergeCell ref="N13:N15"/>
    <mergeCell ref="A7:A9"/>
    <mergeCell ref="B7:B9"/>
    <mergeCell ref="C7:C9"/>
    <mergeCell ref="D7:D9"/>
    <mergeCell ref="E7:E9"/>
    <mergeCell ref="F7:F9"/>
    <mergeCell ref="G7:G9"/>
    <mergeCell ref="H7:H9"/>
    <mergeCell ref="I7:I9"/>
    <mergeCell ref="O1:O3"/>
    <mergeCell ref="P1:P3"/>
    <mergeCell ref="A4:A6"/>
    <mergeCell ref="B4:B6"/>
    <mergeCell ref="C4:C6"/>
    <mergeCell ref="D4:D6"/>
    <mergeCell ref="E4:E6"/>
    <mergeCell ref="F4:F6"/>
    <mergeCell ref="G4:G6"/>
    <mergeCell ref="H4:H6"/>
    <mergeCell ref="H1:H3"/>
    <mergeCell ref="I1:I3"/>
    <mergeCell ref="J1:J3"/>
    <mergeCell ref="L1:L3"/>
    <mergeCell ref="M1:M3"/>
    <mergeCell ref="N1:N3"/>
    <mergeCell ref="B1:B3"/>
    <mergeCell ref="C1:C3"/>
    <mergeCell ref="D1:D3"/>
    <mergeCell ref="E1:E3"/>
    <mergeCell ref="F1:F3"/>
    <mergeCell ref="G1:G3"/>
    <mergeCell ref="P4:P5"/>
    <mergeCell ref="I4:I6"/>
    <mergeCell ref="K1:K3"/>
    <mergeCell ref="K4:K6"/>
    <mergeCell ref="K7:K9"/>
    <mergeCell ref="K10:K12"/>
    <mergeCell ref="K13:K15"/>
    <mergeCell ref="K16:K18"/>
    <mergeCell ref="K19:K21"/>
    <mergeCell ref="K22:K24"/>
    <mergeCell ref="K25:K27"/>
    <mergeCell ref="J31:J33"/>
    <mergeCell ref="K31:K33"/>
    <mergeCell ref="L31:L33"/>
    <mergeCell ref="M31:M33"/>
    <mergeCell ref="N31:N33"/>
    <mergeCell ref="O31:O33"/>
    <mergeCell ref="P31:P32"/>
    <mergeCell ref="A31:A33"/>
    <mergeCell ref="B31:B33"/>
    <mergeCell ref="C31:C33"/>
    <mergeCell ref="D31:D33"/>
    <mergeCell ref="E31:E33"/>
    <mergeCell ref="F31:F33"/>
    <mergeCell ref="G31:G33"/>
    <mergeCell ref="H31:H33"/>
    <mergeCell ref="I31:I33"/>
  </mergeCells>
  <conditionalFormatting sqref="A4:K33">
    <cfRule type="cellIs" dxfId="59" priority="4" stopIfTrue="1" operator="equal">
      <formula>0</formula>
    </cfRule>
  </conditionalFormatting>
  <conditionalFormatting sqref="B4:K33">
    <cfRule type="cellIs" priority="2" operator="equal">
      <formula>""</formula>
    </cfRule>
    <cfRule type="expression" dxfId="58" priority="3" stopIfTrue="1">
      <formula>OFFSET($A$2,(COLUMN()-1)*3-1,(ROW()+2)/3-1,1,1)&lt;&gt;CONCATENATE(RIGHT(B4,1),MID(B4,2,1),LEFT(B4,1))</formula>
    </cfRule>
  </conditionalFormatting>
  <conditionalFormatting sqref="P31 P28 P25 P22 P19 P16 P13 P10 P7 P4">
    <cfRule type="iconSet" priority="1">
      <iconSet iconSet="3Arrows" reverse="1">
        <cfvo type="percent" val="0"/>
        <cfvo type="num" val="2" gte="0"/>
        <cfvo type="num" val="MIN(($A$3-2),(MAX($P$4:$P$33)))"/>
      </iconSet>
    </cfRule>
  </conditionalFormatting>
  <dataValidations count="1">
    <dataValidation type="list" allowBlank="1" showInputMessage="1" showErrorMessage="1" sqref="B4:K33" xr:uid="{FC767BC1-6F68-4B81-8D15-1D3FBDB1EE3C}">
      <formula1>eredmeny</formula1>
    </dataValidation>
  </dataValidations>
  <printOptions horizontalCentered="1"/>
  <pageMargins left="0.23622047244094491" right="0.23622047244094491" top="0.74803149606299213" bottom="0.74803149606299213" header="0.31496062992125984" footer="0.31496062992125984"/>
  <pageSetup paperSize="9" scale="98" orientation="landscape" r:id="rId1"/>
  <headerFooter>
    <oddHeader>&amp;C&amp;A</oddHeader>
    <oddFooter>&amp;LPrepared by City Squash Club&amp;C&amp;F&amp;R&amp;D</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43"/>
  <sheetViews>
    <sheetView zoomScale="80" zoomScaleNormal="80" workbookViewId="0">
      <selection activeCell="E45" sqref="E45"/>
    </sheetView>
  </sheetViews>
  <sheetFormatPr baseColWidth="10" defaultColWidth="8.83203125" defaultRowHeight="15"/>
  <cols>
    <col min="1" max="7" width="12.33203125" customWidth="1"/>
    <col min="8" max="9" width="11.1640625" customWidth="1"/>
    <col min="10" max="10" width="0.6640625" customWidth="1"/>
    <col min="11" max="12" width="3.83203125" hidden="1" customWidth="1"/>
    <col min="13" max="13" width="10.6640625" customWidth="1"/>
    <col min="14" max="16" width="8.5" customWidth="1"/>
    <col min="17" max="17" width="10.6640625" customWidth="1"/>
    <col min="18" max="18" width="16.1640625" customWidth="1"/>
    <col min="19" max="19" width="10.6640625" style="4" customWidth="1"/>
  </cols>
  <sheetData>
    <row r="1" spans="1:20" ht="15.75" customHeight="1">
      <c r="A1" s="21"/>
      <c r="B1" s="98" t="str">
        <f t="shared" ref="B1:L1" ca="1" si="0">VLOOKUP(CONCATENATE(LEFT($A$2,1),COLUMN()-1),nevezettek,3,FALSE)</f>
        <v>Székely Árpád</v>
      </c>
      <c r="C1" s="98" t="str">
        <f t="shared" ca="1" si="0"/>
        <v>Tóth Bálint</v>
      </c>
      <c r="D1" s="98" t="str">
        <f t="shared" ca="1" si="0"/>
        <v>Börzsönyi Balázs</v>
      </c>
      <c r="E1" s="98" t="str">
        <f t="shared" ca="1" si="0"/>
        <v>Kmet Alex</v>
      </c>
      <c r="F1" s="98" t="str">
        <f t="shared" ca="1" si="0"/>
        <v>Bartus Péter</v>
      </c>
      <c r="G1" s="98" t="str">
        <f t="shared" ca="1" si="0"/>
        <v>Fekete Tamás</v>
      </c>
      <c r="H1" s="98" t="str">
        <f t="shared" ca="1" si="0"/>
        <v>Varga Tamás</v>
      </c>
      <c r="I1" s="98" t="str">
        <f t="shared" ca="1" si="0"/>
        <v>Hatos Balázs</v>
      </c>
      <c r="J1" s="107">
        <f t="shared" ca="1" si="0"/>
        <v>0</v>
      </c>
      <c r="K1" s="107">
        <f t="shared" ca="1" si="0"/>
        <v>0</v>
      </c>
      <c r="L1" s="107">
        <f t="shared" ca="1" si="0"/>
        <v>0</v>
      </c>
      <c r="M1" s="110" t="s">
        <v>31</v>
      </c>
      <c r="N1" s="113" t="s">
        <v>59</v>
      </c>
      <c r="O1" s="89" t="s">
        <v>58</v>
      </c>
      <c r="P1" s="92" t="s">
        <v>65</v>
      </c>
      <c r="Q1" s="95" t="s">
        <v>167</v>
      </c>
      <c r="R1" s="4"/>
    </row>
    <row r="2" spans="1:20">
      <c r="A2" s="22" t="str">
        <f ca="1">RIGHT(CELL("filename",A1),6)</f>
        <v>C liga</v>
      </c>
      <c r="B2" s="99"/>
      <c r="C2" s="99"/>
      <c r="D2" s="99"/>
      <c r="E2" s="99"/>
      <c r="F2" s="99"/>
      <c r="G2" s="99"/>
      <c r="H2" s="99"/>
      <c r="I2" s="99"/>
      <c r="J2" s="108"/>
      <c r="K2" s="108"/>
      <c r="L2" s="108"/>
      <c r="M2" s="111"/>
      <c r="N2" s="114"/>
      <c r="O2" s="90"/>
      <c r="P2" s="93"/>
      <c r="Q2" s="96"/>
      <c r="R2" s="4"/>
    </row>
    <row r="3" spans="1:20">
      <c r="A3" s="23">
        <f ca="1">COUNTIF(Ligabeosztas!D:D,LEFT(A2,1))</f>
        <v>11</v>
      </c>
      <c r="B3" s="100"/>
      <c r="C3" s="100"/>
      <c r="D3" s="100"/>
      <c r="E3" s="100"/>
      <c r="F3" s="100"/>
      <c r="G3" s="100"/>
      <c r="H3" s="100"/>
      <c r="I3" s="100"/>
      <c r="J3" s="109"/>
      <c r="K3" s="109"/>
      <c r="L3" s="109"/>
      <c r="M3" s="112"/>
      <c r="N3" s="115"/>
      <c r="O3" s="91"/>
      <c r="P3" s="94"/>
      <c r="Q3" s="97"/>
      <c r="R3" s="4"/>
      <c r="S3" s="24"/>
    </row>
    <row r="4" spans="1:20">
      <c r="A4" s="98" t="str">
        <f ca="1">B1</f>
        <v>Székely Árpád</v>
      </c>
      <c r="B4" s="101"/>
      <c r="C4" s="104"/>
      <c r="D4" s="104"/>
      <c r="E4" s="104"/>
      <c r="F4" s="104"/>
      <c r="G4" s="104"/>
      <c r="H4" s="104"/>
      <c r="I4" s="104"/>
      <c r="J4" s="104"/>
      <c r="K4" s="104"/>
      <c r="L4" s="138"/>
      <c r="M4" s="127">
        <f>5*(COUNTIF(B4:L6,"5/0")+COUNTIF(B4:L6,"4/1")+COUNTIF(B4:L6,"3/2")+COUNTIF(B4:L6,"5/-"))+3*COUNTIF(B4:L6,"2/3")+2*COUNTIF(B4:L6,"1/4")+COUNTIF(B4:L6,"0/5")+0.01*N4+0.0001*(O4)</f>
        <v>0</v>
      </c>
      <c r="N4" s="130">
        <f>1*COUNTIF(B4:L6,"5/0")+1*COUNTIF(B4:L6,"4/1")+1*COUNTIF(B4:L6,"3/2")+1*COUNTIF(B4:L6,"5/-")+0*COUNTIF(B4:L6,"2/3")+0*COUNTIF(B4:L6,"1/4")+0*COUNTIF(B4:L6,"0/5")</f>
        <v>0</v>
      </c>
      <c r="O4" s="116">
        <f>5*COUNTIF(B4:L6,"5/0")+4*COUNTIF(B4:L6,"4/1")+3*COUNTIF(B4:L6,"3/2")+5*COUNTIF(B4:L6,"5/-")+2*COUNTIF(B4:L6,"2/3")+1*COUNTIF(B4:L6,"1/4")+0*COUNTIF(B4:L6,"0/5")</f>
        <v>0</v>
      </c>
      <c r="P4" s="119">
        <f>0*COUNTIF(B4:L6,"5/0")+1*COUNTIF(B4:L6,"4/1")+2*COUNTIF(B4:L6,"3/2")+3*COUNTIF(B4:L6,"2/3")+4*COUNTIF(B4:L6,"1/4")+5*COUNTIF(B4:L6,"0/5")+5*COUNTIF(B4:L6,"-/5")</f>
        <v>0</v>
      </c>
      <c r="Q4" s="133">
        <f>RANK(M4,M$4:M$36)</f>
        <v>1</v>
      </c>
      <c r="R4" s="9"/>
    </row>
    <row r="5" spans="1:20">
      <c r="A5" s="99"/>
      <c r="B5" s="102"/>
      <c r="C5" s="105"/>
      <c r="D5" s="105"/>
      <c r="E5" s="105"/>
      <c r="F5" s="105"/>
      <c r="G5" s="105"/>
      <c r="H5" s="105"/>
      <c r="I5" s="105"/>
      <c r="J5" s="105"/>
      <c r="K5" s="105"/>
      <c r="L5" s="139"/>
      <c r="M5" s="128"/>
      <c r="N5" s="131"/>
      <c r="O5" s="117"/>
      <c r="P5" s="120"/>
      <c r="Q5" s="134"/>
      <c r="R5" s="4"/>
    </row>
    <row r="6" spans="1:20">
      <c r="A6" s="100"/>
      <c r="B6" s="103"/>
      <c r="C6" s="106"/>
      <c r="D6" s="106"/>
      <c r="E6" s="106"/>
      <c r="F6" s="106"/>
      <c r="G6" s="106"/>
      <c r="H6" s="106"/>
      <c r="I6" s="106"/>
      <c r="J6" s="106"/>
      <c r="K6" s="106"/>
      <c r="L6" s="140"/>
      <c r="M6" s="129"/>
      <c r="N6" s="132"/>
      <c r="O6" s="118"/>
      <c r="P6" s="121"/>
      <c r="Q6" s="29">
        <f>IFERROR(M4/SUM(O4:P6),0)</f>
        <v>0</v>
      </c>
      <c r="R6" s="10"/>
    </row>
    <row r="7" spans="1:20">
      <c r="A7" s="98" t="str">
        <f ca="1">C1</f>
        <v>Tóth Bálint</v>
      </c>
      <c r="B7" s="104"/>
      <c r="C7" s="101"/>
      <c r="D7" s="104"/>
      <c r="E7" s="104"/>
      <c r="F7" s="104"/>
      <c r="G7" s="104"/>
      <c r="H7" s="104"/>
      <c r="I7" s="104"/>
      <c r="J7" s="104"/>
      <c r="K7" s="104"/>
      <c r="L7" s="138"/>
      <c r="M7" s="127">
        <f>5*(COUNTIF(B7:L9,"5/0")+COUNTIF(B7:L9,"4/1")+COUNTIF(B7:L9,"3/2")+COUNTIF(B7:L9,"5/-"))+3*COUNTIF(B7:L9,"2/3")+2*COUNTIF(B7:L9,"1/4")+COUNTIF(B7:L9,"0/5")+0.01*N7+0.0001*(O7)</f>
        <v>0</v>
      </c>
      <c r="N7" s="130">
        <f>1*COUNTIF(B7:L9,"5/0")+1*COUNTIF(B7:L9,"4/1")+1*COUNTIF(B7:L9,"3/2")+1*COUNTIF(B7:L9,"5/-")+0*COUNTIF(B7:L9,"2/3")+0*COUNTIF(B7:L9,"1/4")+0*COUNTIF(B7:L9,"0/5")</f>
        <v>0</v>
      </c>
      <c r="O7" s="116">
        <f>5*COUNTIF(B7:L9,"5/0")+4*COUNTIF(B7:L9,"4/1")+3*COUNTIF(B7:L9,"3/2")+5*COUNTIF(B7:L9,"5/-")+2*COUNTIF(B7:L9,"2/3")+1*COUNTIF(B7:L9,"1/4")+0*COUNTIF(B7:L9,"0/5")</f>
        <v>0</v>
      </c>
      <c r="P7" s="119">
        <f>0*COUNTIF(B7:L9,"5/0")+1*COUNTIF(B7:L9,"4/1")+2*COUNTIF(B7:L9,"3/2")+3*COUNTIF(B7:L9,"2/3")+4*COUNTIF(B7:L9,"1/4")+5*COUNTIF(B7:L9,"0/5")+5*COUNTIF(B7:L9,"-/5")</f>
        <v>0</v>
      </c>
      <c r="Q7" s="133">
        <f>RANK(M7,M$4:M$36)</f>
        <v>1</v>
      </c>
      <c r="R7" s="10"/>
      <c r="T7" s="5"/>
    </row>
    <row r="8" spans="1:20">
      <c r="A8" s="99"/>
      <c r="B8" s="105"/>
      <c r="C8" s="102"/>
      <c r="D8" s="105"/>
      <c r="E8" s="105"/>
      <c r="F8" s="105"/>
      <c r="G8" s="105"/>
      <c r="H8" s="105"/>
      <c r="I8" s="105"/>
      <c r="J8" s="105"/>
      <c r="K8" s="105"/>
      <c r="L8" s="139"/>
      <c r="M8" s="128"/>
      <c r="N8" s="131"/>
      <c r="O8" s="117"/>
      <c r="P8" s="120"/>
      <c r="Q8" s="134"/>
      <c r="R8" s="2"/>
      <c r="T8" s="5"/>
    </row>
    <row r="9" spans="1:20">
      <c r="A9" s="100"/>
      <c r="B9" s="106"/>
      <c r="C9" s="103"/>
      <c r="D9" s="106"/>
      <c r="E9" s="106"/>
      <c r="F9" s="106"/>
      <c r="G9" s="106"/>
      <c r="H9" s="106"/>
      <c r="I9" s="106"/>
      <c r="J9" s="106"/>
      <c r="K9" s="106"/>
      <c r="L9" s="140"/>
      <c r="M9" s="129"/>
      <c r="N9" s="132"/>
      <c r="O9" s="118"/>
      <c r="P9" s="121"/>
      <c r="Q9" s="29">
        <f>IFERROR(M7/SUM(O7:P9),0)</f>
        <v>0</v>
      </c>
      <c r="R9" s="10"/>
      <c r="T9" s="8"/>
    </row>
    <row r="10" spans="1:20">
      <c r="A10" s="98" t="str">
        <f ca="1">D1</f>
        <v>Börzsönyi Balázs</v>
      </c>
      <c r="B10" s="104"/>
      <c r="C10" s="104"/>
      <c r="D10" s="101"/>
      <c r="E10" s="104"/>
      <c r="F10" s="104"/>
      <c r="G10" s="104"/>
      <c r="H10" s="104"/>
      <c r="I10" s="104"/>
      <c r="J10" s="104"/>
      <c r="K10" s="104"/>
      <c r="L10" s="138"/>
      <c r="M10" s="127">
        <f>5*(COUNTIF(B10:L12,"5/0")+COUNTIF(B10:L12,"4/1")+COUNTIF(B10:L12,"3/2")+COUNTIF(B10:L12,"5/-"))+3*COUNTIF(B10:L12,"2/3")+2*COUNTIF(B10:L12,"1/4")+COUNTIF(B10:L12,"0/5")+0.01*N10+0.0001*(O10)</f>
        <v>0</v>
      </c>
      <c r="N10" s="130">
        <f>1*COUNTIF(B10:L12,"5/0")+1*COUNTIF(B10:L12,"4/1")+1*COUNTIF(B10:L12,"3/2")+1*COUNTIF(B10:L12,"5/-")+0*COUNTIF(B10:L12,"2/3")+0*COUNTIF(B10:L12,"1/4")+0*COUNTIF(B10:L12,"0/5")</f>
        <v>0</v>
      </c>
      <c r="O10" s="116">
        <f>5*COUNTIF(B10:L12,"5/0")+4*COUNTIF(B10:L12,"4/1")+3*COUNTIF(B10:L12,"3/2")+5*COUNTIF(B10:L12,"5/-")+2*COUNTIF(B10:L12,"2/3")+1*COUNTIF(B10:L12,"1/4")+0*COUNTIF(B10:L12,"0/5")</f>
        <v>0</v>
      </c>
      <c r="P10" s="119">
        <f>0*COUNTIF(B10:L12,"5/0")+1*COUNTIF(B10:L12,"4/1")+2*COUNTIF(B10:L12,"3/2")+3*COUNTIF(B10:L12,"2/3")+4*COUNTIF(B10:L12,"1/4")+5*COUNTIF(B10:L12,"0/5")+5*COUNTIF(B10:L12,"-/5")</f>
        <v>0</v>
      </c>
      <c r="Q10" s="133">
        <f>RANK(M10,M$4:M$36)</f>
        <v>1</v>
      </c>
      <c r="R10" s="10"/>
    </row>
    <row r="11" spans="1:20">
      <c r="A11" s="99"/>
      <c r="B11" s="105"/>
      <c r="C11" s="105"/>
      <c r="D11" s="102"/>
      <c r="E11" s="105"/>
      <c r="F11" s="105"/>
      <c r="G11" s="105"/>
      <c r="H11" s="105"/>
      <c r="I11" s="105"/>
      <c r="J11" s="105"/>
      <c r="K11" s="105"/>
      <c r="L11" s="139"/>
      <c r="M11" s="128"/>
      <c r="N11" s="131"/>
      <c r="O11" s="117"/>
      <c r="P11" s="120"/>
      <c r="Q11" s="134"/>
      <c r="R11" s="1"/>
      <c r="T11" s="6"/>
    </row>
    <row r="12" spans="1:20">
      <c r="A12" s="100"/>
      <c r="B12" s="106"/>
      <c r="C12" s="106"/>
      <c r="D12" s="103"/>
      <c r="E12" s="106"/>
      <c r="F12" s="106"/>
      <c r="G12" s="106"/>
      <c r="H12" s="106"/>
      <c r="I12" s="106"/>
      <c r="J12" s="106"/>
      <c r="K12" s="106"/>
      <c r="L12" s="140"/>
      <c r="M12" s="129"/>
      <c r="N12" s="132"/>
      <c r="O12" s="118"/>
      <c r="P12" s="121"/>
      <c r="Q12" s="29">
        <f>IFERROR(M10/SUM(O10:P12),0)</f>
        <v>0</v>
      </c>
      <c r="R12" s="10"/>
    </row>
    <row r="13" spans="1:20">
      <c r="A13" s="98" t="str">
        <f ca="1">E1</f>
        <v>Kmet Alex</v>
      </c>
      <c r="B13" s="104"/>
      <c r="C13" s="104"/>
      <c r="D13" s="104"/>
      <c r="E13" s="101"/>
      <c r="F13" s="104"/>
      <c r="G13" s="104"/>
      <c r="H13" s="104"/>
      <c r="I13" s="104"/>
      <c r="J13" s="104"/>
      <c r="K13" s="104"/>
      <c r="L13" s="138"/>
      <c r="M13" s="127">
        <f>5*(COUNTIF(B13:L15,"5/0")+COUNTIF(B13:L15,"4/1")+COUNTIF(B13:L15,"3/2")+COUNTIF(B13:L15,"5/-"))+3*COUNTIF(B13:L15,"2/3")+2*COUNTIF(B13:L15,"1/4")+COUNTIF(B13:L15,"0/5")+0.01*N13+0.0001*(O13)</f>
        <v>0</v>
      </c>
      <c r="N13" s="130">
        <f>1*COUNTIF(B13:L15,"5/0")+1*COUNTIF(B13:L15,"4/1")+1*COUNTIF(B13:L15,"3/2")+1*COUNTIF(B13:L15,"5/-")+0*COUNTIF(B13:L15,"2/3")+0*COUNTIF(B13:L15,"1/4")+0*COUNTIF(B13:L15,"0/5")</f>
        <v>0</v>
      </c>
      <c r="O13" s="116">
        <f>5*COUNTIF(B13:L15,"5/0")+4*COUNTIF(B13:L15,"4/1")+3*COUNTIF(B13:L15,"3/2")+5*COUNTIF(B13:L15,"5/-")+2*COUNTIF(B13:L15,"2/3")+1*COUNTIF(B13:L15,"1/4")+0*COUNTIF(B13:L15,"0/5")</f>
        <v>0</v>
      </c>
      <c r="P13" s="119">
        <f>0*COUNTIF(B13:L15,"5/0")+1*COUNTIF(B13:L15,"4/1")+2*COUNTIF(B13:L15,"3/2")+3*COUNTIF(B13:L15,"2/3")+4*COUNTIF(B13:L15,"1/4")+5*COUNTIF(B13:L15,"0/5")+5*COUNTIF(B13:L15,"-/5")</f>
        <v>0</v>
      </c>
      <c r="Q13" s="133">
        <f>RANK(M13,M$4:M$36)</f>
        <v>1</v>
      </c>
      <c r="R13" s="10"/>
    </row>
    <row r="14" spans="1:20">
      <c r="A14" s="99"/>
      <c r="B14" s="105"/>
      <c r="C14" s="105"/>
      <c r="D14" s="105"/>
      <c r="E14" s="102"/>
      <c r="F14" s="105"/>
      <c r="G14" s="105"/>
      <c r="H14" s="105"/>
      <c r="I14" s="105"/>
      <c r="J14" s="105"/>
      <c r="K14" s="105"/>
      <c r="L14" s="139"/>
      <c r="M14" s="128"/>
      <c r="N14" s="131"/>
      <c r="O14" s="117"/>
      <c r="P14" s="120"/>
      <c r="Q14" s="134"/>
      <c r="R14" s="4"/>
      <c r="T14" s="6"/>
    </row>
    <row r="15" spans="1:20">
      <c r="A15" s="100"/>
      <c r="B15" s="106"/>
      <c r="C15" s="106"/>
      <c r="D15" s="106"/>
      <c r="E15" s="103"/>
      <c r="F15" s="106"/>
      <c r="G15" s="106"/>
      <c r="H15" s="106"/>
      <c r="I15" s="106"/>
      <c r="J15" s="106"/>
      <c r="K15" s="106"/>
      <c r="L15" s="140"/>
      <c r="M15" s="129"/>
      <c r="N15" s="132"/>
      <c r="O15" s="118"/>
      <c r="P15" s="121"/>
      <c r="Q15" s="29">
        <f>IFERROR(M13/SUM(O13:P15),0)</f>
        <v>0</v>
      </c>
      <c r="R15" s="10"/>
    </row>
    <row r="16" spans="1:20">
      <c r="A16" s="98" t="str">
        <f ca="1">F1</f>
        <v>Bartus Péter</v>
      </c>
      <c r="B16" s="104"/>
      <c r="C16" s="104"/>
      <c r="D16" s="104"/>
      <c r="E16" s="104"/>
      <c r="F16" s="101"/>
      <c r="G16" s="104"/>
      <c r="H16" s="104"/>
      <c r="I16" s="104"/>
      <c r="J16" s="104"/>
      <c r="K16" s="104"/>
      <c r="L16" s="138"/>
      <c r="M16" s="127">
        <f>5*(COUNTIF(B16:L18,"5/0")+COUNTIF(B16:L18,"4/1")+COUNTIF(B16:L18,"3/2")+COUNTIF(B16:L18,"5/-"))+3*COUNTIF(B16:L18,"2/3")+2*COUNTIF(B16:L18,"1/4")+COUNTIF(B16:L18,"0/5")+0.01*N16+0.0001*(O16)</f>
        <v>0</v>
      </c>
      <c r="N16" s="130">
        <f>1*COUNTIF(B16:L18,"5/0")+1*COUNTIF(B16:L18,"4/1")+1*COUNTIF(B16:L18,"3/2")+1*COUNTIF(B16:L18,"5/-")+0*COUNTIF(B16:L18,"2/3")+0*COUNTIF(B16:L18,"1/4")+0*COUNTIF(B16:L18,"0/5")</f>
        <v>0</v>
      </c>
      <c r="O16" s="116">
        <f>5*COUNTIF(B16:L18,"5/0")+4*COUNTIF(B16:L18,"4/1")+3*COUNTIF(B16:L18,"3/2")+5*COUNTIF(B16:L18,"5/-")+2*COUNTIF(B16:L18,"2/3")+1*COUNTIF(B16:L18,"1/4")+0*COUNTIF(B16:L18,"0/5")</f>
        <v>0</v>
      </c>
      <c r="P16" s="119">
        <f>0*COUNTIF(B16:L18,"5/0")+1*COUNTIF(B16:L18,"4/1")+2*COUNTIF(B16:L18,"3/2")+3*COUNTIF(B16:L18,"2/3")+4*COUNTIF(B16:L18,"1/4")+5*COUNTIF(B16:L18,"0/5")+5*COUNTIF(B16:L18,"-/5")</f>
        <v>0</v>
      </c>
      <c r="Q16" s="133">
        <f>RANK(M16,M$4:M$36)</f>
        <v>1</v>
      </c>
      <c r="R16" s="10"/>
    </row>
    <row r="17" spans="1:22">
      <c r="A17" s="99"/>
      <c r="B17" s="105"/>
      <c r="C17" s="105"/>
      <c r="D17" s="105"/>
      <c r="E17" s="105"/>
      <c r="F17" s="102"/>
      <c r="G17" s="105"/>
      <c r="H17" s="105"/>
      <c r="I17" s="105"/>
      <c r="J17" s="105"/>
      <c r="K17" s="105"/>
      <c r="L17" s="139"/>
      <c r="M17" s="128"/>
      <c r="N17" s="131"/>
      <c r="O17" s="117"/>
      <c r="P17" s="120"/>
      <c r="Q17" s="134"/>
      <c r="R17" s="4"/>
    </row>
    <row r="18" spans="1:22">
      <c r="A18" s="100"/>
      <c r="B18" s="106"/>
      <c r="C18" s="106"/>
      <c r="D18" s="106"/>
      <c r="E18" s="106"/>
      <c r="F18" s="103"/>
      <c r="G18" s="106"/>
      <c r="H18" s="106"/>
      <c r="I18" s="106"/>
      <c r="J18" s="106"/>
      <c r="K18" s="106"/>
      <c r="L18" s="140"/>
      <c r="M18" s="129"/>
      <c r="N18" s="132"/>
      <c r="O18" s="118"/>
      <c r="P18" s="121"/>
      <c r="Q18" s="29">
        <f>IFERROR(M16/SUM(O16:P18),0)</f>
        <v>0</v>
      </c>
      <c r="R18" s="10"/>
    </row>
    <row r="19" spans="1:22">
      <c r="A19" s="98" t="str">
        <f ca="1">G1</f>
        <v>Fekete Tamás</v>
      </c>
      <c r="B19" s="104"/>
      <c r="C19" s="104"/>
      <c r="D19" s="104"/>
      <c r="E19" s="104"/>
      <c r="F19" s="104"/>
      <c r="G19" s="101"/>
      <c r="H19" s="104"/>
      <c r="I19" s="104"/>
      <c r="J19" s="104"/>
      <c r="K19" s="104"/>
      <c r="L19" s="138"/>
      <c r="M19" s="127">
        <f>5*(COUNTIF(B19:L21,"5/0")+COUNTIF(B19:L21,"4/1")+COUNTIF(B19:L21,"3/2")+COUNTIF(B19:L21,"5/-"))+3*COUNTIF(B19:L21,"2/3")+2*COUNTIF(B19:L21,"1/4")+COUNTIF(B19:L21,"0/5")+0.01*N19+0.0001*(O19)</f>
        <v>0</v>
      </c>
      <c r="N19" s="130">
        <f>1*COUNTIF(B19:L21,"5/0")+1*COUNTIF(B19:L21,"4/1")+1*COUNTIF(B19:L21,"3/2")+1*COUNTIF(B19:L21,"5/-")+0*COUNTIF(B19:L21,"2/3")+0*COUNTIF(B19:L21,"1/4")+0*COUNTIF(B19:L21,"0/5")</f>
        <v>0</v>
      </c>
      <c r="O19" s="116">
        <f>5*COUNTIF(B19:L21,"5/0")+4*COUNTIF(B19:L21,"4/1")+3*COUNTIF(B19:L21,"3/2")+5*COUNTIF(B19:L21,"5/-")+2*COUNTIF(B19:L21,"2/3")+1*COUNTIF(B19:L21,"1/4")+0*COUNTIF(B19:L21,"0/5")</f>
        <v>0</v>
      </c>
      <c r="P19" s="119">
        <f>0*COUNTIF(B19:L21,"5/0")+1*COUNTIF(B19:L21,"4/1")+2*COUNTIF(B19:L21,"3/2")+3*COUNTIF(B19:L21,"2/3")+4*COUNTIF(B19:L21,"1/4")+5*COUNTIF(B19:L21,"0/5")+5*COUNTIF(B19:L21,"-/5")</f>
        <v>0</v>
      </c>
      <c r="Q19" s="133">
        <f>RANK(M19,M$4:M$36)</f>
        <v>1</v>
      </c>
      <c r="R19" s="10"/>
      <c r="T19" s="5"/>
    </row>
    <row r="20" spans="1:22">
      <c r="A20" s="99"/>
      <c r="B20" s="105"/>
      <c r="C20" s="105"/>
      <c r="D20" s="105"/>
      <c r="E20" s="105"/>
      <c r="F20" s="105"/>
      <c r="G20" s="102"/>
      <c r="H20" s="105"/>
      <c r="I20" s="105"/>
      <c r="J20" s="105"/>
      <c r="K20" s="105"/>
      <c r="L20" s="139"/>
      <c r="M20" s="128"/>
      <c r="N20" s="131"/>
      <c r="O20" s="117"/>
      <c r="P20" s="120"/>
      <c r="Q20" s="134"/>
      <c r="R20" s="1"/>
      <c r="T20" s="5"/>
    </row>
    <row r="21" spans="1:22" ht="15" customHeight="1">
      <c r="A21" s="100"/>
      <c r="B21" s="106"/>
      <c r="C21" s="106"/>
      <c r="D21" s="106"/>
      <c r="E21" s="106"/>
      <c r="F21" s="106"/>
      <c r="G21" s="103"/>
      <c r="H21" s="106"/>
      <c r="I21" s="106"/>
      <c r="J21" s="106"/>
      <c r="K21" s="106"/>
      <c r="L21" s="140"/>
      <c r="M21" s="129"/>
      <c r="N21" s="132"/>
      <c r="O21" s="118"/>
      <c r="P21" s="121"/>
      <c r="Q21" s="29">
        <f>IFERROR(M19/SUM(O19:P21),0)</f>
        <v>0</v>
      </c>
      <c r="R21" s="10"/>
    </row>
    <row r="22" spans="1:22" ht="13.75" customHeight="1">
      <c r="A22" s="98" t="str">
        <f ca="1">H1</f>
        <v>Varga Tamás</v>
      </c>
      <c r="B22" s="104"/>
      <c r="C22" s="104"/>
      <c r="D22" s="104"/>
      <c r="E22" s="104"/>
      <c r="F22" s="104"/>
      <c r="G22" s="104"/>
      <c r="H22" s="101"/>
      <c r="I22" s="104"/>
      <c r="J22" s="104"/>
      <c r="K22" s="104"/>
      <c r="L22" s="138"/>
      <c r="M22" s="127">
        <f>5*(COUNTIF(B22:L24,"5/0")+COUNTIF(B22:L24,"4/1")+COUNTIF(B22:L24,"3/2")+COUNTIF(B22:L24,"5/-"))+3*COUNTIF(B22:L24,"2/3")+2*COUNTIF(B22:L24,"1/4")+COUNTIF(B22:L24,"0/5")+0.01*N22+0.0001*(O22)</f>
        <v>0</v>
      </c>
      <c r="N22" s="130">
        <f>1*COUNTIF(B22:L24,"5/0")+1*COUNTIF(B22:L24,"4/1")+1*COUNTIF(B22:L24,"3/2")+1*COUNTIF(B22:L24,"5/-")+0*COUNTIF(B22:L24,"2/3")+0*COUNTIF(B22:L24,"1/4")+0*COUNTIF(B22:L24,"0/5")</f>
        <v>0</v>
      </c>
      <c r="O22" s="116">
        <f>5*COUNTIF(B22:L24,"5/0")+4*COUNTIF(B22:L24,"4/1")+3*COUNTIF(B22:L24,"3/2")+5*COUNTIF(B22:L24,"5/-")+2*COUNTIF(B22:L24,"2/3")+1*COUNTIF(B22:L24,"1/4")+0*COUNTIF(B22:L24,"0/5")</f>
        <v>0</v>
      </c>
      <c r="P22" s="119">
        <f>0*COUNTIF(B22:L24,"5/0")+1*COUNTIF(B22:L24,"4/1")+2*COUNTIF(B22:L24,"3/2")+3*COUNTIF(B22:L24,"2/3")+4*COUNTIF(B22:L24,"1/4")+5*COUNTIF(B22:L24,"0/5")+5*COUNTIF(B22:L24,"-/5")</f>
        <v>0</v>
      </c>
      <c r="Q22" s="133">
        <f>RANK(M22,M$4:M$36)</f>
        <v>1</v>
      </c>
      <c r="R22" s="10"/>
    </row>
    <row r="23" spans="1:22" ht="14.5" customHeight="1">
      <c r="A23" s="99"/>
      <c r="B23" s="105"/>
      <c r="C23" s="105"/>
      <c r="D23" s="105"/>
      <c r="E23" s="105"/>
      <c r="F23" s="105"/>
      <c r="G23" s="105"/>
      <c r="H23" s="102"/>
      <c r="I23" s="105"/>
      <c r="J23" s="105"/>
      <c r="K23" s="105"/>
      <c r="L23" s="139"/>
      <c r="M23" s="128"/>
      <c r="N23" s="131"/>
      <c r="O23" s="117"/>
      <c r="P23" s="120"/>
      <c r="Q23" s="134"/>
      <c r="R23" s="1"/>
      <c r="T23" s="7"/>
      <c r="V23" s="3"/>
    </row>
    <row r="24" spans="1:22" ht="15" customHeight="1">
      <c r="A24" s="100"/>
      <c r="B24" s="106"/>
      <c r="C24" s="106"/>
      <c r="D24" s="106"/>
      <c r="E24" s="106"/>
      <c r="F24" s="106"/>
      <c r="G24" s="106"/>
      <c r="H24" s="103"/>
      <c r="I24" s="106"/>
      <c r="J24" s="106"/>
      <c r="K24" s="106"/>
      <c r="L24" s="140"/>
      <c r="M24" s="129"/>
      <c r="N24" s="132"/>
      <c r="O24" s="118"/>
      <c r="P24" s="121"/>
      <c r="Q24" s="29">
        <f>IFERROR(M22/SUM(O22:P24),0)</f>
        <v>0</v>
      </c>
      <c r="R24" s="10"/>
    </row>
    <row r="25" spans="1:22" ht="13.25" customHeight="1">
      <c r="A25" s="98" t="str">
        <f ca="1">I1</f>
        <v>Hatos Balázs</v>
      </c>
      <c r="B25" s="104"/>
      <c r="C25" s="104"/>
      <c r="D25" s="104"/>
      <c r="E25" s="104"/>
      <c r="F25" s="104"/>
      <c r="G25" s="104"/>
      <c r="H25" s="104"/>
      <c r="I25" s="101"/>
      <c r="J25" s="104"/>
      <c r="K25" s="104"/>
      <c r="L25" s="138"/>
      <c r="M25" s="127">
        <f>5*(COUNTIF(B25:L27,"5/0")+COUNTIF(B25:L27,"4/1")+COUNTIF(B25:L27,"3/2")+COUNTIF(B25:L27,"5/-"))+3*COUNTIF(B25:L27,"2/3")+2*COUNTIF(B25:L27,"1/4")+COUNTIF(B25:L27,"0/5")+0.01*N25+0.0001*(O25)</f>
        <v>0</v>
      </c>
      <c r="N25" s="130">
        <f>1*COUNTIF(B25:L27,"5/0")+1*COUNTIF(B25:L27,"4/1")+1*COUNTIF(B25:L27,"3/2")+1*COUNTIF(B25:L27,"5/-")+0*COUNTIF(B25:L27,"2/3")+0*COUNTIF(B25:L27,"1/4")+0*COUNTIF(B25:L27,"0/5")</f>
        <v>0</v>
      </c>
      <c r="O25" s="116">
        <f>5*COUNTIF(B25:L27,"5/0")+4*COUNTIF(B25:L27,"4/1")+3*COUNTIF(B25:L27,"3/2")+5*COUNTIF(B25:L27,"5/-")+2*COUNTIF(B25:L27,"2/3")+1*COUNTIF(B25:L27,"1/4")+0*COUNTIF(B25:L27,"0/5")</f>
        <v>0</v>
      </c>
      <c r="P25" s="119">
        <f>0*COUNTIF(B25:L27,"5/0")+1*COUNTIF(B25:L27,"4/1")+2*COUNTIF(B25:L27,"3/2")+3*COUNTIF(B25:L27,"2/3")+4*COUNTIF(B25:L27,"1/4")+5*COUNTIF(B25:L27,"0/5")+5*COUNTIF(B25:L27,"-/5")</f>
        <v>0</v>
      </c>
      <c r="Q25" s="133">
        <f>RANK(M25,M$4:M$36)</f>
        <v>1</v>
      </c>
      <c r="R25" s="10"/>
    </row>
    <row r="26" spans="1:22" ht="13.75" customHeight="1">
      <c r="A26" s="99"/>
      <c r="B26" s="105"/>
      <c r="C26" s="105"/>
      <c r="D26" s="105"/>
      <c r="E26" s="105"/>
      <c r="F26" s="105"/>
      <c r="G26" s="105"/>
      <c r="H26" s="105"/>
      <c r="I26" s="102"/>
      <c r="J26" s="105"/>
      <c r="K26" s="105"/>
      <c r="L26" s="139"/>
      <c r="M26" s="128"/>
      <c r="N26" s="131"/>
      <c r="O26" s="117"/>
      <c r="P26" s="120"/>
      <c r="Q26" s="134"/>
      <c r="R26" s="2"/>
    </row>
    <row r="27" spans="1:22" ht="15" customHeight="1">
      <c r="A27" s="100"/>
      <c r="B27" s="106"/>
      <c r="C27" s="106"/>
      <c r="D27" s="106"/>
      <c r="E27" s="106"/>
      <c r="F27" s="106"/>
      <c r="G27" s="106"/>
      <c r="H27" s="106"/>
      <c r="I27" s="103"/>
      <c r="J27" s="106"/>
      <c r="K27" s="106"/>
      <c r="L27" s="140"/>
      <c r="M27" s="129"/>
      <c r="N27" s="132"/>
      <c r="O27" s="118"/>
      <c r="P27" s="121"/>
      <c r="Q27" s="29">
        <f>IFERROR(M25/SUM(O25:P27),0)</f>
        <v>0</v>
      </c>
      <c r="R27" s="10"/>
    </row>
    <row r="28" spans="1:22" ht="2.5" customHeight="1">
      <c r="A28" s="98">
        <f ca="1">J1</f>
        <v>0</v>
      </c>
      <c r="B28" s="104"/>
      <c r="C28" s="104"/>
      <c r="D28" s="104"/>
      <c r="E28" s="104"/>
      <c r="F28" s="104"/>
      <c r="G28" s="104"/>
      <c r="H28" s="104"/>
      <c r="I28" s="104"/>
      <c r="J28" s="101"/>
      <c r="K28" s="104"/>
      <c r="L28" s="138"/>
      <c r="M28" s="127">
        <f>5*(COUNTIF(B28:L30,"5/0")+COUNTIF(B28:L30,"4/1")+COUNTIF(B28:L30,"3/2")+COUNTIF(B28:L30,"5/-"))+3*COUNTIF(B28:L30,"2/3")+2*COUNTIF(B28:L30,"1/4")+COUNTIF(B28:L30,"0/5")+0.01*N28+0.0001*(O28)</f>
        <v>0</v>
      </c>
      <c r="N28" s="130">
        <f>1*COUNTIF(B28:L30,"5/0")+1*COUNTIF(B28:L30,"4/1")+1*COUNTIF(B28:L30,"3/2")+1*COUNTIF(B28:L30,"5/-")+0*COUNTIF(B28:L30,"2/3")+0*COUNTIF(B28:L30,"1/4")+0*COUNTIF(B28:L30,"0/5")</f>
        <v>0</v>
      </c>
      <c r="O28" s="116">
        <f>5*COUNTIF(B28:L30,"5/0")+4*COUNTIF(B28:L30,"4/1")+3*COUNTIF(B28:L30,"3/2")+5*COUNTIF(B28:L30,"5/-")+2*COUNTIF(B28:L30,"2/3")+1*COUNTIF(B28:L30,"1/4")+0*COUNTIF(B28:L30,"0/5")</f>
        <v>0</v>
      </c>
      <c r="P28" s="119">
        <f>0*COUNTIF(B28:L30,"5/0")+1*COUNTIF(B28:L30,"4/1")+2*COUNTIF(B28:L30,"3/2")+3*COUNTIF(B28:L30,"2/3")+4*COUNTIF(B28:L30,"1/4")+5*COUNTIF(B28:L30,"0/5")+5*COUNTIF(B28:L30,"-/5")</f>
        <v>0</v>
      </c>
      <c r="Q28" s="122">
        <f>RANK(M28,M$4:M$36)</f>
        <v>1</v>
      </c>
      <c r="R28" s="10"/>
    </row>
    <row r="29" spans="1:22" ht="18" hidden="1" customHeight="1">
      <c r="A29" s="99"/>
      <c r="B29" s="105"/>
      <c r="C29" s="105"/>
      <c r="D29" s="105"/>
      <c r="E29" s="105"/>
      <c r="F29" s="105"/>
      <c r="G29" s="105"/>
      <c r="H29" s="105"/>
      <c r="I29" s="105"/>
      <c r="J29" s="102"/>
      <c r="K29" s="105"/>
      <c r="L29" s="139"/>
      <c r="M29" s="128"/>
      <c r="N29" s="131"/>
      <c r="O29" s="117"/>
      <c r="P29" s="120"/>
      <c r="Q29" s="123"/>
      <c r="R29" s="2"/>
    </row>
    <row r="30" spans="1:22" ht="15" hidden="1" customHeight="1">
      <c r="A30" s="100"/>
      <c r="B30" s="106"/>
      <c r="C30" s="106"/>
      <c r="D30" s="106"/>
      <c r="E30" s="106"/>
      <c r="F30" s="106"/>
      <c r="G30" s="106"/>
      <c r="H30" s="106"/>
      <c r="I30" s="106"/>
      <c r="J30" s="103"/>
      <c r="K30" s="106"/>
      <c r="L30" s="140"/>
      <c r="M30" s="129"/>
      <c r="N30" s="132"/>
      <c r="O30" s="118"/>
      <c r="P30" s="121"/>
      <c r="Q30" s="51">
        <f>IFERROR(M28/SUM(O28:P30),0)</f>
        <v>0</v>
      </c>
      <c r="R30" s="10"/>
    </row>
    <row r="31" spans="1:22" ht="14.5" hidden="1" customHeight="1">
      <c r="A31" s="98">
        <f ca="1">K1</f>
        <v>0</v>
      </c>
      <c r="B31" s="104"/>
      <c r="C31" s="104"/>
      <c r="D31" s="104"/>
      <c r="E31" s="104"/>
      <c r="F31" s="104"/>
      <c r="G31" s="104"/>
      <c r="H31" s="104"/>
      <c r="I31" s="104"/>
      <c r="J31" s="104"/>
      <c r="K31" s="101"/>
      <c r="L31" s="138"/>
      <c r="M31" s="127">
        <f>5*(COUNTIF(B31:L33,"5/0")+COUNTIF(B31:L33,"4/1")+COUNTIF(B31:L33,"3/2")+COUNTIF(B31:L33,"5/-"))+3*COUNTIF(B31:L33,"2/3")+2*COUNTIF(B31:L33,"1/4")+COUNTIF(B31:L33,"0/5")+0.01*N31+0.0001*(O31)</f>
        <v>0</v>
      </c>
      <c r="N31" s="130">
        <f>1*COUNTIF(B31:L33,"5/0")+1*COUNTIF(B31:L33,"4/1")+1*COUNTIF(B31:L33,"3/2")+1*COUNTIF(B31:L33,"5/-")+0*COUNTIF(B31:L33,"2/3")+0*COUNTIF(B31:L33,"1/4")+0*COUNTIF(B31:L33,"0/5")</f>
        <v>0</v>
      </c>
      <c r="O31" s="116">
        <f>5*COUNTIF(B31:L33,"5/0")+4*COUNTIF(B31:L33,"4/1")+3*COUNTIF(B31:L33,"3/2")+5*COUNTIF(B31:L33,"5/-")+2*COUNTIF(B31:L33,"2/3")+1*COUNTIF(B31:L33,"1/4")+0*COUNTIF(B31:L33,"0/5")</f>
        <v>0</v>
      </c>
      <c r="P31" s="119">
        <f>0*COUNTIF(B31:L33,"5/0")+1*COUNTIF(B31:L33,"4/1")+2*COUNTIF(B31:L33,"3/2")+3*COUNTIF(B31:L33,"2/3")+4*COUNTIF(B31:L33,"1/4")+5*COUNTIF(B31:L33,"0/5")+5*COUNTIF(B31:L33,"-/5")</f>
        <v>0</v>
      </c>
      <c r="Q31" s="122">
        <f>RANK(M31,M$4:M$36)</f>
        <v>1</v>
      </c>
      <c r="R31" s="10"/>
    </row>
    <row r="32" spans="1:22" ht="22.25" hidden="1" customHeight="1">
      <c r="A32" s="99"/>
      <c r="B32" s="105"/>
      <c r="C32" s="105"/>
      <c r="D32" s="105"/>
      <c r="E32" s="105"/>
      <c r="F32" s="105"/>
      <c r="G32" s="105"/>
      <c r="H32" s="105"/>
      <c r="I32" s="105"/>
      <c r="J32" s="105"/>
      <c r="K32" s="102"/>
      <c r="L32" s="139"/>
      <c r="M32" s="128"/>
      <c r="N32" s="131"/>
      <c r="O32" s="117"/>
      <c r="P32" s="120"/>
      <c r="Q32" s="123"/>
      <c r="R32" s="2"/>
    </row>
    <row r="33" spans="1:18" ht="22.25" hidden="1" customHeight="1">
      <c r="A33" s="100"/>
      <c r="B33" s="106"/>
      <c r="C33" s="106"/>
      <c r="D33" s="106"/>
      <c r="E33" s="106"/>
      <c r="F33" s="106"/>
      <c r="G33" s="106"/>
      <c r="H33" s="106"/>
      <c r="I33" s="106"/>
      <c r="J33" s="106"/>
      <c r="K33" s="103"/>
      <c r="L33" s="140"/>
      <c r="M33" s="129"/>
      <c r="N33" s="132"/>
      <c r="O33" s="118"/>
      <c r="P33" s="121"/>
      <c r="Q33" s="51">
        <f>IFERROR(M31/SUM(O31:P33),0)</f>
        <v>0</v>
      </c>
      <c r="R33" s="10"/>
    </row>
    <row r="34" spans="1:18" ht="15.5" hidden="1" customHeight="1">
      <c r="A34" s="98">
        <f ca="1">L1</f>
        <v>0</v>
      </c>
      <c r="B34" s="104"/>
      <c r="C34" s="104"/>
      <c r="D34" s="104"/>
      <c r="E34" s="104"/>
      <c r="F34" s="104"/>
      <c r="G34" s="104"/>
      <c r="H34" s="104"/>
      <c r="I34" s="104"/>
      <c r="J34" s="104"/>
      <c r="K34" s="104"/>
      <c r="L34" s="135"/>
      <c r="M34" s="127">
        <f>5*(COUNTIF(B34:L36,"5/0")+COUNTIF(B34:L36,"4/1")+COUNTIF(B34:L36,"3/2")+COUNTIF(B34:L36,"5/-"))+3*COUNTIF(B34:L36,"2/3")+2*COUNTIF(B34:L36,"1/4")+COUNTIF(B34:L36,"0/5")+0.01*N34+0.0001*(O34)</f>
        <v>0</v>
      </c>
      <c r="N34" s="130">
        <f>1*COUNTIF(B34:L36,"5/0")+1*COUNTIF(B34:L36,"4/1")+1*COUNTIF(B34:L36,"3/2")+1*COUNTIF(B34:L36,"5/-")+0*COUNTIF(B34:L36,"2/3")+0*COUNTIF(B34:L36,"1/4")+0*COUNTIF(B34:L36,"0/5")</f>
        <v>0</v>
      </c>
      <c r="O34" s="116">
        <f>5*COUNTIF(B34:L36,"5/0")+4*COUNTIF(B34:L36,"4/1")+3*COUNTIF(B34:L36,"3/2")+5*COUNTIF(B34:L36,"5/-")+2*COUNTIF(B34:L36,"2/3")+1*COUNTIF(B34:L36,"1/4")+0*COUNTIF(B34:L36,"0/5")</f>
        <v>0</v>
      </c>
      <c r="P34" s="119">
        <f>0*COUNTIF(B34:L36,"5/0")+1*COUNTIF(B34:L36,"4/1")+2*COUNTIF(B34:L36,"3/2")+3*COUNTIF(B34:L36,"2/3")+4*COUNTIF(B34:L36,"1/4")+5*COUNTIF(B34:L36,"0/5")+5*COUNTIF(B34:L36,"-/5")</f>
        <v>0</v>
      </c>
      <c r="Q34" s="122">
        <f>RANK(M34,M$4:M$36)</f>
        <v>1</v>
      </c>
      <c r="R34" s="10"/>
    </row>
    <row r="35" spans="1:18" ht="13.75" hidden="1" customHeight="1">
      <c r="A35" s="99"/>
      <c r="B35" s="105"/>
      <c r="C35" s="105"/>
      <c r="D35" s="105"/>
      <c r="E35" s="105"/>
      <c r="F35" s="105"/>
      <c r="G35" s="105"/>
      <c r="H35" s="105"/>
      <c r="I35" s="105"/>
      <c r="J35" s="105"/>
      <c r="K35" s="105"/>
      <c r="L35" s="136"/>
      <c r="M35" s="128"/>
      <c r="N35" s="131"/>
      <c r="O35" s="117"/>
      <c r="P35" s="120"/>
      <c r="Q35" s="123"/>
      <c r="R35" s="10"/>
    </row>
    <row r="36" spans="1:18" ht="16.25" hidden="1" customHeight="1">
      <c r="A36" s="100"/>
      <c r="B36" s="106"/>
      <c r="C36" s="106"/>
      <c r="D36" s="106"/>
      <c r="E36" s="106"/>
      <c r="F36" s="106"/>
      <c r="G36" s="106"/>
      <c r="H36" s="106"/>
      <c r="I36" s="106"/>
      <c r="J36" s="106"/>
      <c r="K36" s="106"/>
      <c r="L36" s="137"/>
      <c r="M36" s="129"/>
      <c r="N36" s="132"/>
      <c r="O36" s="118"/>
      <c r="P36" s="121"/>
      <c r="Q36" s="29">
        <f>IFERROR(M34/SUM(O34:P36),0)</f>
        <v>0</v>
      </c>
      <c r="R36" s="10"/>
    </row>
    <row r="37" spans="1:18" ht="15.5" customHeight="1">
      <c r="F37" s="4"/>
      <c r="G37" s="4"/>
      <c r="H37" s="4"/>
      <c r="I37" s="4"/>
      <c r="J37" s="4"/>
      <c r="K37" s="4"/>
      <c r="L37" s="4"/>
      <c r="R37" s="4"/>
    </row>
    <row r="38" spans="1:18">
      <c r="R38" s="10"/>
    </row>
    <row r="39" spans="1:18">
      <c r="R39" s="10"/>
    </row>
    <row r="40" spans="1:18">
      <c r="R40" s="10"/>
    </row>
    <row r="41" spans="1:18">
      <c r="R41" s="10"/>
    </row>
    <row r="42" spans="1:18">
      <c r="R42" s="10"/>
    </row>
    <row r="43" spans="1:18" ht="14.5" customHeight="1">
      <c r="R43" s="10"/>
    </row>
  </sheetData>
  <mergeCells count="203">
    <mergeCell ref="E31:E33"/>
    <mergeCell ref="F31:F33"/>
    <mergeCell ref="G31:G33"/>
    <mergeCell ref="L4:L6"/>
    <mergeCell ref="L7:L9"/>
    <mergeCell ref="L10:L12"/>
    <mergeCell ref="L13:L15"/>
    <mergeCell ref="L16:L18"/>
    <mergeCell ref="L19:L21"/>
    <mergeCell ref="L22:L24"/>
    <mergeCell ref="L25:L27"/>
    <mergeCell ref="L28:L30"/>
    <mergeCell ref="I4:I6"/>
    <mergeCell ref="J4:J6"/>
    <mergeCell ref="G7:G9"/>
    <mergeCell ref="H7:H9"/>
    <mergeCell ref="I7:I9"/>
    <mergeCell ref="H13:H15"/>
    <mergeCell ref="O34:O36"/>
    <mergeCell ref="P34:P36"/>
    <mergeCell ref="Q34:Q35"/>
    <mergeCell ref="H28:H30"/>
    <mergeCell ref="H25:H27"/>
    <mergeCell ref="Q28:Q29"/>
    <mergeCell ref="I28:I30"/>
    <mergeCell ref="J28:J30"/>
    <mergeCell ref="M28:M30"/>
    <mergeCell ref="N28:N30"/>
    <mergeCell ref="O28:O30"/>
    <mergeCell ref="P28:P30"/>
    <mergeCell ref="P25:P27"/>
    <mergeCell ref="Q25:Q26"/>
    <mergeCell ref="I25:I27"/>
    <mergeCell ref="J25:J27"/>
    <mergeCell ref="M25:M27"/>
    <mergeCell ref="N25:N27"/>
    <mergeCell ref="O25:O27"/>
    <mergeCell ref="H31:H33"/>
    <mergeCell ref="I31:I33"/>
    <mergeCell ref="J31:J33"/>
    <mergeCell ref="L31:L33"/>
    <mergeCell ref="K34:K36"/>
    <mergeCell ref="A28:A30"/>
    <mergeCell ref="B28:B30"/>
    <mergeCell ref="C28:C30"/>
    <mergeCell ref="D28:D30"/>
    <mergeCell ref="E28:E30"/>
    <mergeCell ref="F28:F30"/>
    <mergeCell ref="G28:G30"/>
    <mergeCell ref="M34:M36"/>
    <mergeCell ref="N34:N36"/>
    <mergeCell ref="L34:L36"/>
    <mergeCell ref="A34:A36"/>
    <mergeCell ref="B34:B36"/>
    <mergeCell ref="C34:C36"/>
    <mergeCell ref="D34:D36"/>
    <mergeCell ref="E34:E36"/>
    <mergeCell ref="F34:F36"/>
    <mergeCell ref="G34:G36"/>
    <mergeCell ref="H34:H36"/>
    <mergeCell ref="I34:I36"/>
    <mergeCell ref="J34:J36"/>
    <mergeCell ref="A31:A33"/>
    <mergeCell ref="B31:B33"/>
    <mergeCell ref="C31:C33"/>
    <mergeCell ref="D31:D33"/>
    <mergeCell ref="A25:A27"/>
    <mergeCell ref="B25:B27"/>
    <mergeCell ref="C25:C27"/>
    <mergeCell ref="D25:D27"/>
    <mergeCell ref="E25:E27"/>
    <mergeCell ref="F25:F27"/>
    <mergeCell ref="G25:G27"/>
    <mergeCell ref="G22:G24"/>
    <mergeCell ref="H22:H24"/>
    <mergeCell ref="A22:A24"/>
    <mergeCell ref="B22:B24"/>
    <mergeCell ref="C22:C24"/>
    <mergeCell ref="D22:D24"/>
    <mergeCell ref="E22:E24"/>
    <mergeCell ref="F22:F24"/>
    <mergeCell ref="A16:A18"/>
    <mergeCell ref="B16:B18"/>
    <mergeCell ref="C16:C18"/>
    <mergeCell ref="D16:D18"/>
    <mergeCell ref="E16:E18"/>
    <mergeCell ref="F16:F18"/>
    <mergeCell ref="O22:O24"/>
    <mergeCell ref="P22:P24"/>
    <mergeCell ref="Q22:Q23"/>
    <mergeCell ref="I22:I24"/>
    <mergeCell ref="J22:J24"/>
    <mergeCell ref="M22:M24"/>
    <mergeCell ref="N22:N24"/>
    <mergeCell ref="A19:A21"/>
    <mergeCell ref="B19:B21"/>
    <mergeCell ref="C19:C21"/>
    <mergeCell ref="D19:D21"/>
    <mergeCell ref="E19:E21"/>
    <mergeCell ref="F19:F21"/>
    <mergeCell ref="G19:G21"/>
    <mergeCell ref="H19:H21"/>
    <mergeCell ref="I19:I21"/>
    <mergeCell ref="G16:G18"/>
    <mergeCell ref="H16:H18"/>
    <mergeCell ref="O10:O12"/>
    <mergeCell ref="P10:P12"/>
    <mergeCell ref="Q10:Q11"/>
    <mergeCell ref="I10:I12"/>
    <mergeCell ref="J10:J12"/>
    <mergeCell ref="M10:M12"/>
    <mergeCell ref="J19:J21"/>
    <mergeCell ref="M19:M21"/>
    <mergeCell ref="N19:N21"/>
    <mergeCell ref="O19:O21"/>
    <mergeCell ref="P19:P21"/>
    <mergeCell ref="Q19:Q20"/>
    <mergeCell ref="Q16:Q17"/>
    <mergeCell ref="I16:I18"/>
    <mergeCell ref="J16:J18"/>
    <mergeCell ref="M16:M18"/>
    <mergeCell ref="N16:N18"/>
    <mergeCell ref="O16:O18"/>
    <mergeCell ref="P16:P18"/>
    <mergeCell ref="B13:B15"/>
    <mergeCell ref="C13:C15"/>
    <mergeCell ref="D13:D15"/>
    <mergeCell ref="E13:E15"/>
    <mergeCell ref="F13:F15"/>
    <mergeCell ref="G13:G15"/>
    <mergeCell ref="G10:G12"/>
    <mergeCell ref="H10:H12"/>
    <mergeCell ref="D10:D12"/>
    <mergeCell ref="E10:E12"/>
    <mergeCell ref="A10:A12"/>
    <mergeCell ref="B10:B12"/>
    <mergeCell ref="C10:C12"/>
    <mergeCell ref="F10:F12"/>
    <mergeCell ref="P13:P15"/>
    <mergeCell ref="Q13:Q14"/>
    <mergeCell ref="J7:J9"/>
    <mergeCell ref="M7:M9"/>
    <mergeCell ref="N7:N9"/>
    <mergeCell ref="O7:O9"/>
    <mergeCell ref="P7:P9"/>
    <mergeCell ref="Q7:Q8"/>
    <mergeCell ref="I13:I15"/>
    <mergeCell ref="J13:J15"/>
    <mergeCell ref="M13:M15"/>
    <mergeCell ref="N13:N15"/>
    <mergeCell ref="O13:O15"/>
    <mergeCell ref="A7:A9"/>
    <mergeCell ref="B7:B9"/>
    <mergeCell ref="C7:C9"/>
    <mergeCell ref="D7:D9"/>
    <mergeCell ref="E7:E9"/>
    <mergeCell ref="F7:F9"/>
    <mergeCell ref="A13:A15"/>
    <mergeCell ref="I1:I3"/>
    <mergeCell ref="J1:J3"/>
    <mergeCell ref="M1:M3"/>
    <mergeCell ref="N1:N3"/>
    <mergeCell ref="O1:O3"/>
    <mergeCell ref="B1:B3"/>
    <mergeCell ref="C1:C3"/>
    <mergeCell ref="D1:D3"/>
    <mergeCell ref="E1:E3"/>
    <mergeCell ref="F1:F3"/>
    <mergeCell ref="G1:G3"/>
    <mergeCell ref="L1:L3"/>
    <mergeCell ref="A4:A6"/>
    <mergeCell ref="B4:B6"/>
    <mergeCell ref="C4:C6"/>
    <mergeCell ref="D4:D6"/>
    <mergeCell ref="E4:E6"/>
    <mergeCell ref="F4:F6"/>
    <mergeCell ref="G4:G6"/>
    <mergeCell ref="H4:H6"/>
    <mergeCell ref="H1:H3"/>
    <mergeCell ref="M31:M33"/>
    <mergeCell ref="N31:N33"/>
    <mergeCell ref="O31:O33"/>
    <mergeCell ref="P31:P33"/>
    <mergeCell ref="Q31:Q32"/>
    <mergeCell ref="K1:K3"/>
    <mergeCell ref="K4:K6"/>
    <mergeCell ref="K7:K9"/>
    <mergeCell ref="K10:K12"/>
    <mergeCell ref="K13:K15"/>
    <mergeCell ref="K16:K18"/>
    <mergeCell ref="K19:K21"/>
    <mergeCell ref="K22:K24"/>
    <mergeCell ref="K25:K27"/>
    <mergeCell ref="K28:K30"/>
    <mergeCell ref="K31:K33"/>
    <mergeCell ref="P1:P3"/>
    <mergeCell ref="Q1:Q3"/>
    <mergeCell ref="Q4:Q5"/>
    <mergeCell ref="M4:M6"/>
    <mergeCell ref="N4:N6"/>
    <mergeCell ref="O4:O6"/>
    <mergeCell ref="P4:P6"/>
    <mergeCell ref="N10:N12"/>
  </mergeCells>
  <conditionalFormatting sqref="A4:L36">
    <cfRule type="cellIs" dxfId="57" priority="5" stopIfTrue="1" operator="equal">
      <formula>0</formula>
    </cfRule>
  </conditionalFormatting>
  <conditionalFormatting sqref="B4:L36">
    <cfRule type="cellIs" priority="3" operator="equal">
      <formula>""</formula>
    </cfRule>
    <cfRule type="expression" dxfId="56" priority="4" stopIfTrue="1">
      <formula>OFFSET($A$2,(COLUMN()-1)*3-1,(ROW()+2)/3-1,1,1)&lt;&gt;CONCATENATE(RIGHT(B4,1),MID(B4,2,1),LEFT(B4,1))</formula>
    </cfRule>
  </conditionalFormatting>
  <conditionalFormatting sqref="Q7 Q10 Q13 Q16 Q19 Q22 Q25 Q4 Q28 Q31 Q34">
    <cfRule type="iconSet" priority="1">
      <iconSet iconSet="3Arrows" reverse="1">
        <cfvo type="percent" val="0"/>
        <cfvo type="num" val="2" gte="0"/>
        <cfvo type="num" val="MIN(($A$3-2),(MAX($Q$4:$Q$30)))"/>
      </iconSet>
    </cfRule>
  </conditionalFormatting>
  <dataValidations count="1">
    <dataValidation type="list" allowBlank="1" showInputMessage="1" showErrorMessage="1" sqref="B4:L36" xr:uid="{49FA583E-DCBA-4018-8CDB-75474DA75B06}">
      <formula1>eredmeny</formula1>
    </dataValidation>
  </dataValidations>
  <printOptions horizontalCentered="1"/>
  <pageMargins left="0.23622047244094491" right="0.23622047244094491" top="0.74803149606299213" bottom="0.74803149606299213" header="0.31496062992125984" footer="0.31496062992125984"/>
  <pageSetup paperSize="9" scale="18" orientation="landscape" r:id="rId1"/>
  <headerFooter>
    <oddHeader>&amp;C&amp;A</oddHeader>
    <oddFooter>&amp;LPrepared by City Squash Club&amp;C&amp;F&amp;R&amp;D</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V40"/>
  <sheetViews>
    <sheetView zoomScale="80" zoomScaleNormal="80" workbookViewId="0">
      <selection activeCell="E19" sqref="E19:E21"/>
    </sheetView>
  </sheetViews>
  <sheetFormatPr baseColWidth="10" defaultColWidth="8.83203125" defaultRowHeight="15"/>
  <cols>
    <col min="1" max="6" width="12.33203125" customWidth="1"/>
    <col min="7" max="7" width="12.1640625" customWidth="1"/>
    <col min="8" max="8" width="13.5" customWidth="1"/>
    <col min="9" max="9" width="12.83203125" customWidth="1"/>
    <col min="10" max="10" width="0.33203125" customWidth="1"/>
    <col min="11" max="11" width="3.5" hidden="1" customWidth="1"/>
    <col min="12" max="12" width="3" hidden="1" customWidth="1"/>
    <col min="13" max="13" width="9.6640625" customWidth="1"/>
    <col min="14" max="14" width="11.83203125" customWidth="1"/>
    <col min="15" max="15" width="11.33203125" customWidth="1"/>
    <col min="16" max="16" width="9.1640625" customWidth="1"/>
    <col min="17" max="17" width="10" bestFit="1" customWidth="1"/>
    <col min="18" max="18" width="13.33203125" customWidth="1"/>
    <col min="19" max="19" width="10.6640625" style="4" customWidth="1"/>
  </cols>
  <sheetData>
    <row r="1" spans="1:20" ht="16">
      <c r="A1" s="21"/>
      <c r="B1" s="98" t="str">
        <f t="shared" ref="B1:L1" ca="1" si="0">VLOOKUP(CONCATENATE(LEFT($A$2,1),COLUMN()-1),nevezettek,3,FALSE)</f>
        <v>Bankits Csaba</v>
      </c>
      <c r="C1" s="98" t="str">
        <f t="shared" ca="1" si="0"/>
        <v>Makszin Miklós</v>
      </c>
      <c r="D1" s="98" t="str">
        <f t="shared" ca="1" si="0"/>
        <v>Bíró Zoltán</v>
      </c>
      <c r="E1" s="98" t="str">
        <f t="shared" ca="1" si="0"/>
        <v>Zsoldos Tamás</v>
      </c>
      <c r="F1" s="98" t="str">
        <f t="shared" ca="1" si="0"/>
        <v>Lukács Dániel</v>
      </c>
      <c r="G1" s="98" t="str">
        <f t="shared" ca="1" si="0"/>
        <v>Molnár Milán</v>
      </c>
      <c r="H1" s="107" t="str">
        <f t="shared" ca="1" si="0"/>
        <v>Bognár Barna</v>
      </c>
      <c r="I1" s="107" t="str">
        <f t="shared" ca="1" si="0"/>
        <v>Gáspár Júlia</v>
      </c>
      <c r="J1" s="98">
        <f t="shared" ca="1" si="0"/>
        <v>0</v>
      </c>
      <c r="K1" s="107">
        <f t="shared" ca="1" si="0"/>
        <v>0</v>
      </c>
      <c r="L1" s="107">
        <f t="shared" ca="1" si="0"/>
        <v>0</v>
      </c>
      <c r="M1" s="110" t="s">
        <v>31</v>
      </c>
      <c r="N1" s="113" t="s">
        <v>59</v>
      </c>
      <c r="O1" s="89" t="s">
        <v>58</v>
      </c>
      <c r="P1" s="92" t="s">
        <v>65</v>
      </c>
      <c r="Q1" s="95" t="s">
        <v>167</v>
      </c>
      <c r="R1" s="4"/>
    </row>
    <row r="2" spans="1:20">
      <c r="A2" s="22" t="str">
        <f ca="1">RIGHT(CELL("filename",A1),6)</f>
        <v>D liga</v>
      </c>
      <c r="B2" s="99"/>
      <c r="C2" s="99"/>
      <c r="D2" s="99"/>
      <c r="E2" s="99"/>
      <c r="F2" s="99"/>
      <c r="G2" s="99"/>
      <c r="H2" s="108"/>
      <c r="I2" s="108"/>
      <c r="J2" s="99"/>
      <c r="K2" s="108"/>
      <c r="L2" s="108"/>
      <c r="M2" s="111"/>
      <c r="N2" s="114"/>
      <c r="O2" s="90"/>
      <c r="P2" s="93"/>
      <c r="Q2" s="96"/>
      <c r="R2" s="4"/>
    </row>
    <row r="3" spans="1:20">
      <c r="A3" s="23">
        <f ca="1">COUNTIF(Ligabeosztas!D:D,LEFT(A2,1))</f>
        <v>11</v>
      </c>
      <c r="B3" s="100"/>
      <c r="C3" s="100"/>
      <c r="D3" s="100"/>
      <c r="E3" s="100"/>
      <c r="F3" s="100"/>
      <c r="G3" s="100"/>
      <c r="H3" s="109"/>
      <c r="I3" s="109"/>
      <c r="J3" s="100"/>
      <c r="K3" s="109"/>
      <c r="L3" s="109"/>
      <c r="M3" s="112"/>
      <c r="N3" s="115"/>
      <c r="O3" s="91"/>
      <c r="P3" s="94"/>
      <c r="Q3" s="97"/>
      <c r="R3" s="4"/>
      <c r="S3" s="24"/>
    </row>
    <row r="4" spans="1:20">
      <c r="A4" s="98" t="str">
        <f ca="1">B1</f>
        <v>Bankits Csaba</v>
      </c>
      <c r="B4" s="101"/>
      <c r="C4" s="104"/>
      <c r="D4" s="104"/>
      <c r="E4" s="104"/>
      <c r="F4" s="104"/>
      <c r="G4" s="104"/>
      <c r="H4" s="104"/>
      <c r="I4" s="104" t="s">
        <v>121</v>
      </c>
      <c r="J4" s="104"/>
      <c r="K4" s="104"/>
      <c r="L4" s="124"/>
      <c r="M4" s="127">
        <f>5*(COUNTIF(B4:L6,"5/0")+COUNTIF(B4:L6,"4/1")+COUNTIF(B4:L6,"3/2")+COUNTIF(B4:L6,"5/-"))+3*COUNTIF(B4:L6,"2/3")+2*COUNTIF(B4:L6,"1/4")+COUNTIF(B4:L6,"0/5")+0.01*N4+0.0001*(O4)</f>
        <v>5.0104999999999995</v>
      </c>
      <c r="N4" s="130">
        <f>1*COUNTIF(B4:L6,"5/0")+1*COUNTIF(B4:L6,"4/1")+1*COUNTIF(B4:L6,"3/2")+1*COUNTIF(B4:L6,"5/-")+0*COUNTIF(B4:L6,"2/3")+0*COUNTIF(B4:L6,"1/4")+0*COUNTIF(B4:L6,"0/5")</f>
        <v>1</v>
      </c>
      <c r="O4" s="116">
        <f>5*COUNTIF(B4:L6,"5/0")+4*COUNTIF(B4:L6,"4/1")+3*COUNTIF(B4:L6,"3/2")+5*COUNTIF(B4:L6,"5/-")+2*COUNTIF(B4:L6,"2/3")+1*COUNTIF(B4:L6,"1/4")+0*COUNTIF(B4:L6,"0/5")</f>
        <v>5</v>
      </c>
      <c r="P4" s="119">
        <f>0*COUNTIF(B4:L6,"5/0")+1*COUNTIF(B4:L6,"4/1")+2*COUNTIF(B4:L6,"3/2")+3*COUNTIF(B4:L6,"2/3")+4*COUNTIF(B4:L6,"1/4")+5*COUNTIF(B4:L6,"0/5")+5*COUNTIF(B4:L6,"-/5")</f>
        <v>0</v>
      </c>
      <c r="Q4" s="133">
        <f>RANK(M4,M$4:M$36)</f>
        <v>2</v>
      </c>
      <c r="R4" s="9"/>
    </row>
    <row r="5" spans="1:20">
      <c r="A5" s="99"/>
      <c r="B5" s="102"/>
      <c r="C5" s="105"/>
      <c r="D5" s="105"/>
      <c r="E5" s="105"/>
      <c r="F5" s="105"/>
      <c r="G5" s="105"/>
      <c r="H5" s="105"/>
      <c r="I5" s="105"/>
      <c r="J5" s="105"/>
      <c r="K5" s="105"/>
      <c r="L5" s="125"/>
      <c r="M5" s="128"/>
      <c r="N5" s="131"/>
      <c r="O5" s="117"/>
      <c r="P5" s="120"/>
      <c r="Q5" s="134"/>
      <c r="R5" s="77"/>
    </row>
    <row r="6" spans="1:20">
      <c r="A6" s="100"/>
      <c r="B6" s="103"/>
      <c r="C6" s="106"/>
      <c r="D6" s="106"/>
      <c r="E6" s="106"/>
      <c r="F6" s="106"/>
      <c r="G6" s="106"/>
      <c r="H6" s="106"/>
      <c r="I6" s="106"/>
      <c r="J6" s="106"/>
      <c r="K6" s="106"/>
      <c r="L6" s="126"/>
      <c r="M6" s="129"/>
      <c r="N6" s="132"/>
      <c r="O6" s="118"/>
      <c r="P6" s="121"/>
      <c r="Q6" s="29">
        <f>IFERROR(M4/SUM(O4:P6),0)</f>
        <v>1.0021</v>
      </c>
      <c r="R6" s="10"/>
    </row>
    <row r="7" spans="1:20">
      <c r="A7" s="98" t="str">
        <f ca="1">C1</f>
        <v>Makszin Miklós</v>
      </c>
      <c r="B7" s="104"/>
      <c r="C7" s="101"/>
      <c r="D7" s="104"/>
      <c r="E7" s="104"/>
      <c r="F7" s="104"/>
      <c r="G7" s="104"/>
      <c r="H7" s="104"/>
      <c r="I7" s="104"/>
      <c r="J7" s="104"/>
      <c r="K7" s="104"/>
      <c r="L7" s="124"/>
      <c r="M7" s="127">
        <f>5*(COUNTIF(B7:L9,"5/0")+COUNTIF(B7:L9,"4/1")+COUNTIF(B7:L9,"3/2")+COUNTIF(B7:L9,"5/-"))+3*COUNTIF(B7:L9,"2/3")+2*COUNTIF(B7:L9,"1/4")+COUNTIF(B7:L9,"0/5")+0.01*N7+0.0001*(O7)</f>
        <v>0</v>
      </c>
      <c r="N7" s="130">
        <f>1*COUNTIF(B7:L9,"5/0")+1*COUNTIF(B7:L9,"4/1")+1*COUNTIF(B7:L9,"3/2")+1*COUNTIF(B7:L9,"5/-")+0*COUNTIF(B7:L9,"2/3")+0*COUNTIF(B7:L9,"1/4")+0*COUNTIF(B7:L9,"0/5")</f>
        <v>0</v>
      </c>
      <c r="O7" s="116">
        <f>5*COUNTIF(B7:L9,"5/0")+4*COUNTIF(B7:L9,"4/1")+3*COUNTIF(B7:L9,"3/2")+5*COUNTIF(B7:L9,"5/-")+2*COUNTIF(B7:L9,"2/3")+1*COUNTIF(B7:L9,"1/4")+0*COUNTIF(B7:L9,"0/5")</f>
        <v>0</v>
      </c>
      <c r="P7" s="119">
        <f>0*COUNTIF(B7:L9,"5/0")+1*COUNTIF(B7:L9,"4/1")+2*COUNTIF(B7:L9,"3/2")+3*COUNTIF(B7:L9,"2/3")+4*COUNTIF(B7:L9,"1/4")+5*COUNTIF(B7:L9,"0/5")+5*COUNTIF(B7:L9,"-/5")</f>
        <v>0</v>
      </c>
      <c r="Q7" s="133">
        <f>RANK(M7,M$4:M$36)</f>
        <v>6</v>
      </c>
      <c r="R7" s="10"/>
      <c r="T7" s="5"/>
    </row>
    <row r="8" spans="1:20">
      <c r="A8" s="99"/>
      <c r="B8" s="105"/>
      <c r="C8" s="102"/>
      <c r="D8" s="105"/>
      <c r="E8" s="105"/>
      <c r="F8" s="105"/>
      <c r="G8" s="105"/>
      <c r="H8" s="105"/>
      <c r="I8" s="105"/>
      <c r="J8" s="105"/>
      <c r="K8" s="105"/>
      <c r="L8" s="125"/>
      <c r="M8" s="128"/>
      <c r="N8" s="131"/>
      <c r="O8" s="117"/>
      <c r="P8" s="120"/>
      <c r="Q8" s="134"/>
      <c r="R8" s="2"/>
      <c r="T8" s="5"/>
    </row>
    <row r="9" spans="1:20">
      <c r="A9" s="100"/>
      <c r="B9" s="106"/>
      <c r="C9" s="103"/>
      <c r="D9" s="106"/>
      <c r="E9" s="106"/>
      <c r="F9" s="106"/>
      <c r="G9" s="106"/>
      <c r="H9" s="106"/>
      <c r="I9" s="106"/>
      <c r="J9" s="106"/>
      <c r="K9" s="106"/>
      <c r="L9" s="126"/>
      <c r="M9" s="129"/>
      <c r="N9" s="132"/>
      <c r="O9" s="118"/>
      <c r="P9" s="121"/>
      <c r="Q9" s="29">
        <f>IFERROR(M7/SUM(O7:P9),0)</f>
        <v>0</v>
      </c>
      <c r="R9" s="10"/>
      <c r="T9" s="8"/>
    </row>
    <row r="10" spans="1:20">
      <c r="A10" s="98" t="str">
        <f ca="1">D1</f>
        <v>Bíró Zoltán</v>
      </c>
      <c r="B10" s="104"/>
      <c r="C10" s="104"/>
      <c r="D10" s="101"/>
      <c r="E10" s="104"/>
      <c r="F10" s="104"/>
      <c r="G10" s="104"/>
      <c r="H10" s="104"/>
      <c r="I10" s="104"/>
      <c r="J10" s="104"/>
      <c r="K10" s="104"/>
      <c r="L10" s="124"/>
      <c r="M10" s="127">
        <f>5*(COUNTIF(B10:L12,"5/0")+COUNTIF(B10:L12,"4/1")+COUNTIF(B10:L12,"3/2")+COUNTIF(B10:L12,"5/-"))+3*COUNTIF(B10:L12,"2/3")+2*COUNTIF(B10:L12,"1/4")+COUNTIF(B10:L12,"0/5")+0.01*N10+0.0001*(O10)</f>
        <v>0</v>
      </c>
      <c r="N10" s="130">
        <f>1*COUNTIF(B10:L12,"5/0")+1*COUNTIF(B10:L12,"4/1")+1*COUNTIF(B10:L12,"3/2")+1*COUNTIF(B10:L12,"5/-")+0*COUNTIF(B10:L12,"2/3")+0*COUNTIF(B10:L12,"1/4")+0*COUNTIF(B10:L12,"0/5")</f>
        <v>0</v>
      </c>
      <c r="O10" s="116">
        <f>5*COUNTIF(B10:L12,"5/0")+4*COUNTIF(B10:L12,"4/1")+3*COUNTIF(B10:L12,"3/2")+5*COUNTIF(B10:L12,"5/-")+2*COUNTIF(B10:L12,"2/3")+1*COUNTIF(B10:L12,"1/4")+0*COUNTIF(B10:L12,"0/5")</f>
        <v>0</v>
      </c>
      <c r="P10" s="119">
        <f>0*COUNTIF(B10:L12,"5/0")+1*COUNTIF(B10:L12,"4/1")+2*COUNTIF(B10:L12,"3/2")+3*COUNTIF(B10:L12,"2/3")+4*COUNTIF(B10:L12,"1/4")+5*COUNTIF(B10:L12,"0/5")+5*COUNTIF(B10:L12,"-/5")</f>
        <v>0</v>
      </c>
      <c r="Q10" s="133">
        <f>RANK(M10,M$4:M$36)</f>
        <v>6</v>
      </c>
      <c r="R10" s="10"/>
    </row>
    <row r="11" spans="1:20">
      <c r="A11" s="99"/>
      <c r="B11" s="105"/>
      <c r="C11" s="105"/>
      <c r="D11" s="102"/>
      <c r="E11" s="105"/>
      <c r="F11" s="105"/>
      <c r="G11" s="105"/>
      <c r="H11" s="105"/>
      <c r="I11" s="105"/>
      <c r="J11" s="105"/>
      <c r="K11" s="105"/>
      <c r="L11" s="125"/>
      <c r="M11" s="128"/>
      <c r="N11" s="131"/>
      <c r="O11" s="117"/>
      <c r="P11" s="120"/>
      <c r="Q11" s="134"/>
      <c r="R11" s="1"/>
      <c r="T11" s="6"/>
    </row>
    <row r="12" spans="1:20">
      <c r="A12" s="100"/>
      <c r="B12" s="106"/>
      <c r="C12" s="106"/>
      <c r="D12" s="103"/>
      <c r="E12" s="106"/>
      <c r="F12" s="106"/>
      <c r="G12" s="106"/>
      <c r="H12" s="106"/>
      <c r="I12" s="106"/>
      <c r="J12" s="106"/>
      <c r="K12" s="106"/>
      <c r="L12" s="126"/>
      <c r="M12" s="129"/>
      <c r="N12" s="132"/>
      <c r="O12" s="118"/>
      <c r="P12" s="121"/>
      <c r="Q12" s="29">
        <f>IFERROR(M10/SUM(O10:P12),0)</f>
        <v>0</v>
      </c>
      <c r="R12" s="10"/>
    </row>
    <row r="13" spans="1:20">
      <c r="A13" s="98" t="str">
        <f ca="1">E1</f>
        <v>Zsoldos Tamás</v>
      </c>
      <c r="B13" s="104"/>
      <c r="C13" s="104"/>
      <c r="D13" s="104"/>
      <c r="E13" s="101"/>
      <c r="F13" s="104"/>
      <c r="G13" s="104" t="s">
        <v>121</v>
      </c>
      <c r="H13" s="104" t="s">
        <v>121</v>
      </c>
      <c r="I13" s="104"/>
      <c r="J13" s="104"/>
      <c r="K13" s="104"/>
      <c r="L13" s="124"/>
      <c r="M13" s="127">
        <f>5*(COUNTIF(B13:L15,"5/0")+COUNTIF(B13:L15,"4/1")+COUNTIF(B13:L15,"3/2")+COUNTIF(B13:L15,"5/-"))+3*COUNTIF(B13:L15,"2/3")+2*COUNTIF(B13:L15,"1/4")+COUNTIF(B13:L15,"0/5")+0.01*N13+0.0001*(O13)</f>
        <v>10.020999999999999</v>
      </c>
      <c r="N13" s="130">
        <f>1*COUNTIF(B13:L15,"5/0")+1*COUNTIF(B13:L15,"4/1")+1*COUNTIF(B13:L15,"3/2")+1*COUNTIF(B13:L15,"5/-")+0*COUNTIF(B13:L15,"2/3")+0*COUNTIF(B13:L15,"1/4")+0*COUNTIF(B13:L15,"0/5")</f>
        <v>2</v>
      </c>
      <c r="O13" s="116">
        <f>5*COUNTIF(B13:L15,"5/0")+4*COUNTIF(B13:L15,"4/1")+3*COUNTIF(B13:L15,"3/2")+5*COUNTIF(B13:L15,"5/-")+2*COUNTIF(B13:L15,"2/3")+1*COUNTIF(B13:L15,"1/4")+0*COUNTIF(B13:L15,"0/5")</f>
        <v>10</v>
      </c>
      <c r="P13" s="119">
        <f>0*COUNTIF(B13:L15,"5/0")+1*COUNTIF(B13:L15,"4/1")+2*COUNTIF(B13:L15,"3/2")+3*COUNTIF(B13:L15,"2/3")+4*COUNTIF(B13:L15,"1/4")+5*COUNTIF(B13:L15,"0/5")+5*COUNTIF(B13:L15,"-/5")</f>
        <v>0</v>
      </c>
      <c r="Q13" s="133">
        <f>RANK(M13,M$4:M$36)</f>
        <v>1</v>
      </c>
      <c r="R13" s="10"/>
    </row>
    <row r="14" spans="1:20">
      <c r="A14" s="99"/>
      <c r="B14" s="105"/>
      <c r="C14" s="105"/>
      <c r="D14" s="105"/>
      <c r="E14" s="102"/>
      <c r="F14" s="105"/>
      <c r="G14" s="105"/>
      <c r="H14" s="105"/>
      <c r="I14" s="105"/>
      <c r="J14" s="105"/>
      <c r="K14" s="105"/>
      <c r="L14" s="125"/>
      <c r="M14" s="128"/>
      <c r="N14" s="131"/>
      <c r="O14" s="117"/>
      <c r="P14" s="120"/>
      <c r="Q14" s="134"/>
      <c r="R14" s="77"/>
      <c r="T14" s="6"/>
    </row>
    <row r="15" spans="1:20">
      <c r="A15" s="100"/>
      <c r="B15" s="106"/>
      <c r="C15" s="106"/>
      <c r="D15" s="106"/>
      <c r="E15" s="103"/>
      <c r="F15" s="106"/>
      <c r="G15" s="106"/>
      <c r="H15" s="106"/>
      <c r="I15" s="106"/>
      <c r="J15" s="106"/>
      <c r="K15" s="106"/>
      <c r="L15" s="126"/>
      <c r="M15" s="129"/>
      <c r="N15" s="132"/>
      <c r="O15" s="118"/>
      <c r="P15" s="121"/>
      <c r="Q15" s="29">
        <f>IFERROR(M13/SUM(O13:P15),0)</f>
        <v>1.0021</v>
      </c>
      <c r="R15" s="10"/>
    </row>
    <row r="16" spans="1:20" ht="17.25" customHeight="1">
      <c r="A16" s="98" t="str">
        <f ca="1">F1</f>
        <v>Lukács Dániel</v>
      </c>
      <c r="B16" s="104"/>
      <c r="C16" s="104"/>
      <c r="D16" s="104"/>
      <c r="E16" s="104"/>
      <c r="F16" s="101"/>
      <c r="G16" s="104"/>
      <c r="H16" s="104"/>
      <c r="I16" s="104"/>
      <c r="J16" s="104"/>
      <c r="K16" s="104"/>
      <c r="L16" s="124"/>
      <c r="M16" s="127">
        <f>5*(COUNTIF(B16:L18,"5/0")+COUNTIF(B16:L18,"4/1")+COUNTIF(B16:L18,"3/2")+COUNTIF(B16:L18,"5/-"))+3*COUNTIF(B16:L18,"2/3")+2*COUNTIF(B16:L18,"1/4")+COUNTIF(B16:L18,"0/5")+0.01*N16+0.0001*(O16)</f>
        <v>0</v>
      </c>
      <c r="N16" s="130">
        <f>1*COUNTIF(B16:L18,"5/0")+1*COUNTIF(B16:L18,"4/1")+1*COUNTIF(B16:L18,"3/2")+1*COUNTIF(B16:L18,"5/-")+0*COUNTIF(B16:L18,"2/3")+0*COUNTIF(B16:L18,"1/4")+0*COUNTIF(B16:L18,"0/5")</f>
        <v>0</v>
      </c>
      <c r="O16" s="116">
        <f>5*COUNTIF(B16:L18,"5/0")+4*COUNTIF(B16:L18,"4/1")+3*COUNTIF(B16:L18,"3/2")+5*COUNTIF(B16:L18,"5/-")+2*COUNTIF(B16:L18,"2/3")+1*COUNTIF(B16:L18,"1/4")+0*COUNTIF(B16:L18,"0/5")</f>
        <v>0</v>
      </c>
      <c r="P16" s="119">
        <f>0*COUNTIF(B16:L18,"5/0")+1*COUNTIF(B16:L18,"4/1")+2*COUNTIF(B16:L18,"3/2")+3*COUNTIF(B16:L18,"2/3")+4*COUNTIF(B16:L18,"1/4")+5*COUNTIF(B16:L18,"0/5")+5*COUNTIF(B16:L18,"-/5")</f>
        <v>0</v>
      </c>
      <c r="Q16" s="133">
        <f>RANK(M16,M$4:M$36)</f>
        <v>6</v>
      </c>
      <c r="R16" s="10"/>
    </row>
    <row r="17" spans="1:22" ht="17.25" customHeight="1">
      <c r="A17" s="99"/>
      <c r="B17" s="105"/>
      <c r="C17" s="105"/>
      <c r="D17" s="105"/>
      <c r="E17" s="105"/>
      <c r="F17" s="102"/>
      <c r="G17" s="105"/>
      <c r="H17" s="105"/>
      <c r="I17" s="105"/>
      <c r="J17" s="105"/>
      <c r="K17" s="105"/>
      <c r="L17" s="125"/>
      <c r="M17" s="128"/>
      <c r="N17" s="131"/>
      <c r="O17" s="117"/>
      <c r="P17" s="120"/>
      <c r="Q17" s="134"/>
      <c r="R17" s="4"/>
    </row>
    <row r="18" spans="1:22" ht="12.75" customHeight="1">
      <c r="A18" s="100"/>
      <c r="B18" s="106"/>
      <c r="C18" s="106"/>
      <c r="D18" s="106"/>
      <c r="E18" s="106"/>
      <c r="F18" s="103"/>
      <c r="G18" s="106"/>
      <c r="H18" s="106"/>
      <c r="I18" s="106"/>
      <c r="J18" s="106"/>
      <c r="K18" s="106"/>
      <c r="L18" s="126"/>
      <c r="M18" s="129"/>
      <c r="N18" s="132"/>
      <c r="O18" s="118"/>
      <c r="P18" s="121"/>
      <c r="Q18" s="29">
        <f>IFERROR(M16/SUM(O16:P18),0)</f>
        <v>0</v>
      </c>
      <c r="R18" s="10"/>
    </row>
    <row r="19" spans="1:22">
      <c r="A19" s="98" t="str">
        <f ca="1">G1</f>
        <v>Molnár Milán</v>
      </c>
      <c r="B19" s="104"/>
      <c r="C19" s="104"/>
      <c r="D19" s="104"/>
      <c r="E19" s="104" t="s">
        <v>122</v>
      </c>
      <c r="F19" s="104"/>
      <c r="G19" s="101"/>
      <c r="H19" s="141"/>
      <c r="I19" s="141"/>
      <c r="J19" s="104"/>
      <c r="K19" s="104"/>
      <c r="L19" s="124"/>
      <c r="M19" s="127">
        <f>5*(COUNTIF(B19:L21,"5/0")+COUNTIF(B19:L21,"4/1")+COUNTIF(B19:L21,"3/2")+COUNTIF(B19:L21,"5/-"))+3*COUNTIF(B19:L21,"2/3")+2*COUNTIF(B19:L21,"1/4")+COUNTIF(B19:L21,"0/5")+0.01*N19+0.0001*(O19)</f>
        <v>1</v>
      </c>
      <c r="N19" s="130">
        <f>1*COUNTIF(B19:L21,"5/0")+1*COUNTIF(B19:L21,"4/1")+1*COUNTIF(B19:L21,"3/2")+1*COUNTIF(B19:L21,"5/-")+0*COUNTIF(B19:L21,"2/3")+0*COUNTIF(B19:L21,"1/4")+0*COUNTIF(B19:L21,"0/5")</f>
        <v>0</v>
      </c>
      <c r="O19" s="116">
        <f>5*COUNTIF(B19:L21,"5/0")+4*COUNTIF(B19:L21,"4/1")+3*COUNTIF(B19:L21,"3/2")+5*COUNTIF(B19:L21,"5/-")+2*COUNTIF(B19:L21,"2/3")+1*COUNTIF(B19:L21,"1/4")+0*COUNTIF(B19:L21,"0/5")</f>
        <v>0</v>
      </c>
      <c r="P19" s="119">
        <f>0*COUNTIF(B19:L21,"5/0")+1*COUNTIF(B19:L21,"4/1")+2*COUNTIF(B19:L21,"3/2")+3*COUNTIF(B19:L21,"2/3")+4*COUNTIF(B19:L21,"1/4")+5*COUNTIF(B19:L21,"0/5")+5*COUNTIF(B19:L21,"-/5")</f>
        <v>5</v>
      </c>
      <c r="Q19" s="133">
        <f>RANK(M19,M$4:M$36)</f>
        <v>3</v>
      </c>
      <c r="R19" s="10"/>
      <c r="T19" s="5"/>
    </row>
    <row r="20" spans="1:22">
      <c r="A20" s="99"/>
      <c r="B20" s="105"/>
      <c r="C20" s="105"/>
      <c r="D20" s="105"/>
      <c r="E20" s="105"/>
      <c r="F20" s="105"/>
      <c r="G20" s="102"/>
      <c r="H20" s="142"/>
      <c r="I20" s="142"/>
      <c r="J20" s="105"/>
      <c r="K20" s="105"/>
      <c r="L20" s="125"/>
      <c r="M20" s="128"/>
      <c r="N20" s="131"/>
      <c r="O20" s="117"/>
      <c r="P20" s="120"/>
      <c r="Q20" s="134"/>
      <c r="R20" s="1"/>
      <c r="T20" s="5"/>
    </row>
    <row r="21" spans="1:22">
      <c r="A21" s="100"/>
      <c r="B21" s="106"/>
      <c r="C21" s="106"/>
      <c r="D21" s="106"/>
      <c r="E21" s="106"/>
      <c r="F21" s="106"/>
      <c r="G21" s="103"/>
      <c r="H21" s="143"/>
      <c r="I21" s="143"/>
      <c r="J21" s="106"/>
      <c r="K21" s="106"/>
      <c r="L21" s="126"/>
      <c r="M21" s="129"/>
      <c r="N21" s="132"/>
      <c r="O21" s="118"/>
      <c r="P21" s="121"/>
      <c r="Q21" s="29">
        <f>IFERROR(M19/SUM(O19:P21),0)</f>
        <v>0.2</v>
      </c>
      <c r="R21" s="10"/>
    </row>
    <row r="22" spans="1:22" ht="14.5" customHeight="1">
      <c r="A22" s="98" t="str">
        <f ca="1">H1</f>
        <v>Bognár Barna</v>
      </c>
      <c r="B22" s="104"/>
      <c r="C22" s="104"/>
      <c r="D22" s="104"/>
      <c r="E22" s="104" t="s">
        <v>122</v>
      </c>
      <c r="F22" s="104"/>
      <c r="G22" s="104"/>
      <c r="H22" s="144"/>
      <c r="I22" s="104"/>
      <c r="J22" s="141"/>
      <c r="K22" s="104"/>
      <c r="L22" s="124"/>
      <c r="M22" s="127">
        <f>5*(COUNTIF(B22:L24,"5/0")+COUNTIF(B22:L24,"4/1")+COUNTIF(B22:L24,"3/2")+COUNTIF(B22:L24,"5/-"))+3*COUNTIF(B22:L24,"2/3")+2*COUNTIF(B22:L24,"1/4")+COUNTIF(B22:L24,"0/5")+0.01*N22+0.0001*(O22)</f>
        <v>1</v>
      </c>
      <c r="N22" s="130">
        <f>1*COUNTIF(B22:L24,"5/0")+1*COUNTIF(B22:L24,"4/1")+1*COUNTIF(B22:L24,"3/2")+1*COUNTIF(B22:L24,"5/-")+0*COUNTIF(B22:L24,"2/3")+0*COUNTIF(B22:L24,"1/4")+0*COUNTIF(B22:L24,"0/5")</f>
        <v>0</v>
      </c>
      <c r="O22" s="116">
        <f>5*COUNTIF(B22:L24,"5/0")+4*COUNTIF(B22:L24,"4/1")+3*COUNTIF(B22:L24,"3/2")+5*COUNTIF(B22:L24,"5/-")+2*COUNTIF(B22:L24,"2/3")+1*COUNTIF(B22:L24,"1/4")+0*COUNTIF(B22:L24,"0/5")</f>
        <v>0</v>
      </c>
      <c r="P22" s="119">
        <f>0*COUNTIF(B22:L24,"5/0")+1*COUNTIF(B22:L24,"4/1")+2*COUNTIF(B22:L24,"3/2")+3*COUNTIF(B22:L24,"2/3")+4*COUNTIF(B22:L24,"1/4")+5*COUNTIF(B22:L24,"0/5")+5*COUNTIF(B22:L24,"-/5")</f>
        <v>5</v>
      </c>
      <c r="Q22" s="133">
        <f>RANK(M22,M$4:M$36)</f>
        <v>3</v>
      </c>
      <c r="R22" s="10"/>
    </row>
    <row r="23" spans="1:22" ht="13.25" customHeight="1">
      <c r="A23" s="99"/>
      <c r="B23" s="105"/>
      <c r="C23" s="105"/>
      <c r="D23" s="105"/>
      <c r="E23" s="105"/>
      <c r="F23" s="105"/>
      <c r="G23" s="105"/>
      <c r="H23" s="145"/>
      <c r="I23" s="105"/>
      <c r="J23" s="142"/>
      <c r="K23" s="105"/>
      <c r="L23" s="125"/>
      <c r="M23" s="128"/>
      <c r="N23" s="131"/>
      <c r="O23" s="117"/>
      <c r="P23" s="120"/>
      <c r="Q23" s="134"/>
      <c r="R23" s="1"/>
      <c r="T23" s="7"/>
      <c r="V23" s="3"/>
    </row>
    <row r="24" spans="1:22" ht="13.25" customHeight="1">
      <c r="A24" s="100"/>
      <c r="B24" s="106"/>
      <c r="C24" s="106"/>
      <c r="D24" s="106"/>
      <c r="E24" s="106"/>
      <c r="F24" s="106"/>
      <c r="G24" s="106"/>
      <c r="H24" s="146"/>
      <c r="I24" s="106"/>
      <c r="J24" s="143"/>
      <c r="K24" s="106"/>
      <c r="L24" s="126"/>
      <c r="M24" s="129"/>
      <c r="N24" s="132"/>
      <c r="O24" s="118"/>
      <c r="P24" s="121"/>
      <c r="Q24" s="29">
        <f>IFERROR(M22/SUM(O22:P24),0)</f>
        <v>0.2</v>
      </c>
      <c r="R24" s="10"/>
    </row>
    <row r="25" spans="1:22" ht="14.5" customHeight="1">
      <c r="A25" s="98" t="str">
        <f ca="1">I1</f>
        <v>Gáspár Júlia</v>
      </c>
      <c r="B25" s="104" t="s">
        <v>122</v>
      </c>
      <c r="C25" s="104"/>
      <c r="D25" s="104"/>
      <c r="E25" s="104"/>
      <c r="F25" s="104"/>
      <c r="G25" s="104"/>
      <c r="H25" s="104"/>
      <c r="I25" s="144"/>
      <c r="J25" s="104"/>
      <c r="K25" s="141"/>
      <c r="L25" s="124"/>
      <c r="M25" s="127">
        <f>5*(COUNTIF(B25:L27,"5/0")+COUNTIF(B25:L27,"4/1")+COUNTIF(B25:L27,"3/2")+COUNTIF(B25:L27,"5/-"))+3*COUNTIF(B25:L27,"2/3")+2*COUNTIF(B25:L27,"1/4")+COUNTIF(B25:L27,"0/5")+0.01*N25+0.0001*(O25)</f>
        <v>1</v>
      </c>
      <c r="N25" s="130">
        <f>1*COUNTIF(B25:L27,"5/0")+1*COUNTIF(B25:L27,"4/1")+1*COUNTIF(B25:L27,"3/2")+1*COUNTIF(B25:L27,"5/-")+0*COUNTIF(B25:L27,"2/3")+0*COUNTIF(B25:L27,"1/4")+0*COUNTIF(B25:L27,"0/5")</f>
        <v>0</v>
      </c>
      <c r="O25" s="116">
        <f>5*COUNTIF(B25:L27,"5/0")+4*COUNTIF(B25:L27,"4/1")+3*COUNTIF(B25:L27,"3/2")+5*COUNTIF(B25:L27,"5/-")+2*COUNTIF(B25:L27,"2/3")+1*COUNTIF(B25:L27,"1/4")+0*COUNTIF(B25:L27,"0/5")</f>
        <v>0</v>
      </c>
      <c r="P25" s="119">
        <f>0*COUNTIF(B25:L27,"5/0")+1*COUNTIF(B25:L27,"4/1")+2*COUNTIF(B25:L27,"3/2")+3*COUNTIF(B25:L27,"2/3")+4*COUNTIF(B25:L27,"1/4")+5*COUNTIF(B25:L27,"0/5")+5*COUNTIF(B25:L27,"-/5")</f>
        <v>5</v>
      </c>
      <c r="Q25" s="133">
        <f>RANK(M25,M$4:M$36)</f>
        <v>3</v>
      </c>
      <c r="R25" s="10"/>
    </row>
    <row r="26" spans="1:22" ht="12.5" customHeight="1">
      <c r="A26" s="99"/>
      <c r="B26" s="105"/>
      <c r="C26" s="105"/>
      <c r="D26" s="105"/>
      <c r="E26" s="105"/>
      <c r="F26" s="105"/>
      <c r="G26" s="105"/>
      <c r="H26" s="105"/>
      <c r="I26" s="145"/>
      <c r="J26" s="105"/>
      <c r="K26" s="142"/>
      <c r="L26" s="125"/>
      <c r="M26" s="128"/>
      <c r="N26" s="131"/>
      <c r="O26" s="117"/>
      <c r="P26" s="120"/>
      <c r="Q26" s="134"/>
      <c r="R26" s="2"/>
    </row>
    <row r="27" spans="1:22" ht="12.5" customHeight="1">
      <c r="A27" s="100"/>
      <c r="B27" s="106"/>
      <c r="C27" s="106"/>
      <c r="D27" s="106"/>
      <c r="E27" s="106"/>
      <c r="F27" s="106"/>
      <c r="G27" s="106"/>
      <c r="H27" s="106"/>
      <c r="I27" s="146"/>
      <c r="J27" s="106"/>
      <c r="K27" s="143"/>
      <c r="L27" s="126"/>
      <c r="M27" s="129"/>
      <c r="N27" s="132"/>
      <c r="O27" s="118"/>
      <c r="P27" s="121"/>
      <c r="Q27" s="29">
        <f>IFERROR(M25/SUM(O25:P27),0)</f>
        <v>0.2</v>
      </c>
      <c r="R27" s="10"/>
    </row>
    <row r="28" spans="1:22" ht="2.5" customHeight="1">
      <c r="A28" s="98">
        <f ca="1">J1</f>
        <v>0</v>
      </c>
      <c r="B28" s="104"/>
      <c r="C28" s="104"/>
      <c r="D28" s="104"/>
      <c r="E28" s="104"/>
      <c r="F28" s="104"/>
      <c r="G28" s="104"/>
      <c r="H28" s="104"/>
      <c r="I28" s="104"/>
      <c r="J28" s="144"/>
      <c r="K28" s="104"/>
      <c r="L28" s="141"/>
      <c r="M28" s="127">
        <f>5*(COUNTIF(B28:L30,"5/0")+COUNTIF(B28:L30,"4/1")+COUNTIF(B28:L30,"3/2")+COUNTIF(B28:L30,"5/-"))+3*COUNTIF(B28:L30,"2/3")+2*COUNTIF(B28:L30,"1/4")+COUNTIF(B28:L30,"0/5")+0.01*N28+0.0001*(O28)</f>
        <v>0</v>
      </c>
      <c r="N28" s="130">
        <f>1*COUNTIF(B28:L30,"5/0")+1*COUNTIF(B28:L30,"4/1")+1*COUNTIF(B28:L30,"3/2")+1*COUNTIF(B28:L30,"5/-")+0*COUNTIF(B28:L30,"2/3")+0*COUNTIF(B28:L30,"1/4")+0*COUNTIF(B28:L30,"0/5")</f>
        <v>0</v>
      </c>
      <c r="O28" s="116">
        <f>5*COUNTIF(B28:L30,"5/0")+4*COUNTIF(B28:L30,"4/1")+3*COUNTIF(B28:L30,"3/2")+5*COUNTIF(B28:L30,"5/-")+2*COUNTIF(B28:L30,"2/3")+1*COUNTIF(B28:L30,"1/4")+0*COUNTIF(B28:L30,"0/5")</f>
        <v>0</v>
      </c>
      <c r="P28" s="119">
        <f>0*COUNTIF(B28:L30,"5/0")+1*COUNTIF(B28:L30,"4/1")+2*COUNTIF(B28:L30,"3/2")+3*COUNTIF(B28:L30,"2/3")+4*COUNTIF(B28:L30,"1/4")+5*COUNTIF(B28:L30,"0/5")+5*COUNTIF(B28:L30,"-/5")</f>
        <v>0</v>
      </c>
      <c r="Q28" s="122">
        <f>RANK(M28,M$4:M$36)</f>
        <v>6</v>
      </c>
      <c r="R28" s="10"/>
    </row>
    <row r="29" spans="1:22" ht="15" hidden="1" customHeight="1">
      <c r="A29" s="99"/>
      <c r="B29" s="105"/>
      <c r="C29" s="105"/>
      <c r="D29" s="105"/>
      <c r="E29" s="105"/>
      <c r="F29" s="105"/>
      <c r="G29" s="105"/>
      <c r="H29" s="105"/>
      <c r="I29" s="105"/>
      <c r="J29" s="145"/>
      <c r="K29" s="105"/>
      <c r="L29" s="142"/>
      <c r="M29" s="128"/>
      <c r="N29" s="131"/>
      <c r="O29" s="117"/>
      <c r="P29" s="120"/>
      <c r="Q29" s="123"/>
      <c r="R29" s="2"/>
    </row>
    <row r="30" spans="1:22" ht="15" hidden="1" customHeight="1">
      <c r="A30" s="100"/>
      <c r="B30" s="106"/>
      <c r="C30" s="106"/>
      <c r="D30" s="106"/>
      <c r="E30" s="106"/>
      <c r="F30" s="106"/>
      <c r="G30" s="106"/>
      <c r="H30" s="106"/>
      <c r="I30" s="106"/>
      <c r="J30" s="146"/>
      <c r="K30" s="106"/>
      <c r="L30" s="143"/>
      <c r="M30" s="129"/>
      <c r="N30" s="132"/>
      <c r="O30" s="118"/>
      <c r="P30" s="121"/>
      <c r="Q30" s="51">
        <f>IFERROR(M28/SUM(O28:P30),0)</f>
        <v>0</v>
      </c>
      <c r="R30" s="10"/>
    </row>
    <row r="31" spans="1:22" ht="12" hidden="1" customHeight="1">
      <c r="A31" s="98">
        <f ca="1">K1</f>
        <v>0</v>
      </c>
      <c r="B31" s="104"/>
      <c r="C31" s="104"/>
      <c r="D31" s="104"/>
      <c r="E31" s="104"/>
      <c r="F31" s="104"/>
      <c r="G31" s="104"/>
      <c r="H31" s="104"/>
      <c r="I31" s="104"/>
      <c r="J31" s="104"/>
      <c r="K31" s="144"/>
      <c r="L31" s="141"/>
      <c r="M31" s="127">
        <f>5*(COUNTIF(B31:L33,"5/0")+COUNTIF(B31:L33,"4/1")+COUNTIF(B31:L33,"3/2")+COUNTIF(B31:L33,"5/-"))+3*COUNTIF(B31:L33,"2/3")+2*COUNTIF(B31:L33,"1/4")+COUNTIF(B31:L33,"0/5")+0.01*N31+0.0001*(O31)</f>
        <v>0</v>
      </c>
      <c r="N31" s="130">
        <f>1*COUNTIF(B31:L33,"5/0")+1*COUNTIF(B31:L33,"4/1")+1*COUNTIF(B31:L33,"3/2")+1*COUNTIF(B31:L33,"5/-")+0*COUNTIF(B31:L33,"2/3")+0*COUNTIF(B31:L33,"1/4")+0*COUNTIF(B31:L33,"0/5")</f>
        <v>0</v>
      </c>
      <c r="O31" s="116">
        <f>5*COUNTIF(B31:L33,"5/0")+4*COUNTIF(B31:L33,"4/1")+3*COUNTIF(B31:L33,"3/2")+5*COUNTIF(B31:L33,"5/-")+2*COUNTIF(B31:L33,"2/3")+1*COUNTIF(B31:L33,"1/4")+0*COUNTIF(B31:L33,"0/5")</f>
        <v>0</v>
      </c>
      <c r="P31" s="119">
        <f>0*COUNTIF(B31:L33,"5/0")+1*COUNTIF(B31:L33,"4/1")+2*COUNTIF(B31:L33,"3/2")+3*COUNTIF(B31:L33,"2/3")+4*COUNTIF(B31:L33,"1/4")+5*COUNTIF(B31:L33,"0/5")+5*COUNTIF(B31:L33,"-/5")</f>
        <v>0</v>
      </c>
      <c r="Q31" s="122">
        <f>RANK(M31,M$4:M$36)</f>
        <v>6</v>
      </c>
      <c r="R31" s="10"/>
    </row>
    <row r="32" spans="1:22" ht="10.25" hidden="1" customHeight="1">
      <c r="A32" s="99"/>
      <c r="B32" s="105"/>
      <c r="C32" s="105"/>
      <c r="D32" s="105"/>
      <c r="E32" s="105"/>
      <c r="F32" s="105"/>
      <c r="G32" s="105"/>
      <c r="H32" s="105"/>
      <c r="I32" s="105"/>
      <c r="J32" s="105"/>
      <c r="K32" s="145"/>
      <c r="L32" s="142"/>
      <c r="M32" s="128"/>
      <c r="N32" s="131"/>
      <c r="O32" s="117"/>
      <c r="P32" s="120"/>
      <c r="Q32" s="123"/>
      <c r="R32" s="2"/>
    </row>
    <row r="33" spans="1:18" ht="12" hidden="1" customHeight="1">
      <c r="A33" s="100"/>
      <c r="B33" s="106"/>
      <c r="C33" s="106"/>
      <c r="D33" s="106"/>
      <c r="E33" s="106"/>
      <c r="F33" s="106"/>
      <c r="G33" s="106"/>
      <c r="H33" s="106"/>
      <c r="I33" s="106"/>
      <c r="J33" s="106"/>
      <c r="K33" s="146"/>
      <c r="L33" s="143"/>
      <c r="M33" s="129"/>
      <c r="N33" s="132"/>
      <c r="O33" s="118"/>
      <c r="P33" s="121"/>
      <c r="Q33" s="51">
        <f>IFERROR(M31/SUM(O31:P33),0)</f>
        <v>0</v>
      </c>
      <c r="R33" s="10"/>
    </row>
    <row r="34" spans="1:18" ht="12.5" hidden="1" customHeight="1">
      <c r="A34" s="98">
        <f ca="1">L1</f>
        <v>0</v>
      </c>
      <c r="B34" s="104"/>
      <c r="C34" s="104"/>
      <c r="D34" s="104"/>
      <c r="E34" s="104"/>
      <c r="F34" s="104"/>
      <c r="G34" s="104"/>
      <c r="H34" s="104"/>
      <c r="I34" s="104"/>
      <c r="J34" s="104"/>
      <c r="K34" s="104"/>
      <c r="L34" s="101"/>
      <c r="M34" s="127">
        <f>5*(COUNTIF(B34:L36,"5/0")+COUNTIF(B34:L36,"4/1")+COUNTIF(B34:L36,"3/2")+COUNTIF(B34:L36,"5/-"))+3*COUNTIF(B34:L36,"2/3")+2*COUNTIF(B34:L36,"1/4")+COUNTIF(B34:L36,"0/5")+0.01*N34+0.0001*(O34)</f>
        <v>0</v>
      </c>
      <c r="N34" s="130">
        <f>1*COUNTIF(B34:L36,"5/0")+1*COUNTIF(B34:L36,"4/1")+1*COUNTIF(B34:L36,"3/2")+1*COUNTIF(B34:L36,"5/-")+0*COUNTIF(B34:L36,"2/3")+0*COUNTIF(B34:L36,"1/4")+0*COUNTIF(B34:L36,"0/5")</f>
        <v>0</v>
      </c>
      <c r="O34" s="116">
        <f>5*COUNTIF(B34:L36,"5/0")+4*COUNTIF(B34:L36,"4/1")+3*COUNTIF(B34:L36,"3/2")+5*COUNTIF(B34:L36,"5/-")+2*COUNTIF(B34:L36,"2/3")+1*COUNTIF(B34:L36,"1/4")+0*COUNTIF(B34:L36,"0/5")</f>
        <v>0</v>
      </c>
      <c r="P34" s="119">
        <f>0*COUNTIF(B34:L36,"5/0")+1*COUNTIF(B34:L36,"4/1")+2*COUNTIF(B34:L36,"3/2")+3*COUNTIF(B34:L36,"2/3")+4*COUNTIF(B34:L36,"1/4")+5*COUNTIF(B34:L36,"0/5")+5*COUNTIF(B34:L36,"-/5")</f>
        <v>0</v>
      </c>
      <c r="Q34" s="122">
        <f>RANK(M34,M$4:M$36)</f>
        <v>6</v>
      </c>
      <c r="R34" s="10"/>
    </row>
    <row r="35" spans="1:18" ht="13.75" hidden="1" customHeight="1">
      <c r="A35" s="99"/>
      <c r="B35" s="105"/>
      <c r="C35" s="105"/>
      <c r="D35" s="105"/>
      <c r="E35" s="105"/>
      <c r="F35" s="105"/>
      <c r="G35" s="105"/>
      <c r="H35" s="105"/>
      <c r="I35" s="105"/>
      <c r="J35" s="105"/>
      <c r="K35" s="105"/>
      <c r="L35" s="102"/>
      <c r="M35" s="128"/>
      <c r="N35" s="131"/>
      <c r="O35" s="117"/>
      <c r="P35" s="120"/>
      <c r="Q35" s="123"/>
      <c r="R35" s="2"/>
    </row>
    <row r="36" spans="1:18" ht="13.25" hidden="1" customHeight="1">
      <c r="A36" s="100"/>
      <c r="B36" s="106"/>
      <c r="C36" s="106"/>
      <c r="D36" s="106"/>
      <c r="E36" s="106"/>
      <c r="F36" s="106"/>
      <c r="G36" s="106"/>
      <c r="H36" s="106"/>
      <c r="I36" s="106"/>
      <c r="J36" s="106"/>
      <c r="K36" s="106"/>
      <c r="L36" s="103"/>
      <c r="M36" s="129"/>
      <c r="N36" s="132"/>
      <c r="O36" s="118"/>
      <c r="P36" s="121"/>
      <c r="Q36" s="29">
        <f>IFERROR(M34/SUM(O34:P36),0)</f>
        <v>0</v>
      </c>
      <c r="R36" s="10"/>
    </row>
    <row r="37" spans="1:18">
      <c r="R37" s="10"/>
    </row>
    <row r="38" spans="1:18">
      <c r="R38" s="10"/>
    </row>
    <row r="39" spans="1:18">
      <c r="R39" s="10"/>
    </row>
    <row r="40" spans="1:18">
      <c r="R40" s="10"/>
    </row>
  </sheetData>
  <mergeCells count="203">
    <mergeCell ref="F34:F36"/>
    <mergeCell ref="G34:G36"/>
    <mergeCell ref="H34:H36"/>
    <mergeCell ref="I34:I36"/>
    <mergeCell ref="Q34:Q35"/>
    <mergeCell ref="I1:I3"/>
    <mergeCell ref="H1:H3"/>
    <mergeCell ref="H25:H27"/>
    <mergeCell ref="H28:H30"/>
    <mergeCell ref="I22:I24"/>
    <mergeCell ref="I25:I27"/>
    <mergeCell ref="I28:I30"/>
    <mergeCell ref="O31:O33"/>
    <mergeCell ref="P31:P33"/>
    <mergeCell ref="Q31:Q32"/>
    <mergeCell ref="J34:J36"/>
    <mergeCell ref="K34:K36"/>
    <mergeCell ref="L34:L36"/>
    <mergeCell ref="M34:M36"/>
    <mergeCell ref="N34:N36"/>
    <mergeCell ref="O34:O36"/>
    <mergeCell ref="P34:P36"/>
    <mergeCell ref="H10:H12"/>
    <mergeCell ref="H13:H15"/>
    <mergeCell ref="A28:A30"/>
    <mergeCell ref="B28:B30"/>
    <mergeCell ref="C28:C30"/>
    <mergeCell ref="D28:D30"/>
    <mergeCell ref="A34:A36"/>
    <mergeCell ref="B34:B36"/>
    <mergeCell ref="C34:C36"/>
    <mergeCell ref="D34:D36"/>
    <mergeCell ref="E34:E36"/>
    <mergeCell ref="E28:E30"/>
    <mergeCell ref="J31:J33"/>
    <mergeCell ref="K31:K33"/>
    <mergeCell ref="L31:L33"/>
    <mergeCell ref="M31:M33"/>
    <mergeCell ref="N31:N33"/>
    <mergeCell ref="A31:A33"/>
    <mergeCell ref="B31:B33"/>
    <mergeCell ref="C31:C33"/>
    <mergeCell ref="D31:D33"/>
    <mergeCell ref="E31:E33"/>
    <mergeCell ref="F31:F33"/>
    <mergeCell ref="G31:G33"/>
    <mergeCell ref="H31:H33"/>
    <mergeCell ref="I31:I33"/>
    <mergeCell ref="Q28:Q29"/>
    <mergeCell ref="K28:K30"/>
    <mergeCell ref="L28:L30"/>
    <mergeCell ref="M28:M30"/>
    <mergeCell ref="N28:N30"/>
    <mergeCell ref="O28:O30"/>
    <mergeCell ref="P28:P30"/>
    <mergeCell ref="P25:P27"/>
    <mergeCell ref="Q25:Q26"/>
    <mergeCell ref="K25:K27"/>
    <mergeCell ref="L25:L27"/>
    <mergeCell ref="M25:M27"/>
    <mergeCell ref="N25:N27"/>
    <mergeCell ref="O25:O27"/>
    <mergeCell ref="F28:F30"/>
    <mergeCell ref="G28:G30"/>
    <mergeCell ref="C16:C18"/>
    <mergeCell ref="D16:D18"/>
    <mergeCell ref="E16:E18"/>
    <mergeCell ref="F16:F18"/>
    <mergeCell ref="O22:O24"/>
    <mergeCell ref="P22:P24"/>
    <mergeCell ref="L19:L21"/>
    <mergeCell ref="M19:M21"/>
    <mergeCell ref="N19:N21"/>
    <mergeCell ref="O19:O21"/>
    <mergeCell ref="P19:P21"/>
    <mergeCell ref="I19:I21"/>
    <mergeCell ref="H22:H24"/>
    <mergeCell ref="J28:J30"/>
    <mergeCell ref="J25:J27"/>
    <mergeCell ref="E22:E24"/>
    <mergeCell ref="F22:F24"/>
    <mergeCell ref="H16:H18"/>
    <mergeCell ref="I16:I18"/>
    <mergeCell ref="H19:H21"/>
    <mergeCell ref="Q22:Q23"/>
    <mergeCell ref="A25:A27"/>
    <mergeCell ref="B25:B27"/>
    <mergeCell ref="C25:C27"/>
    <mergeCell ref="D25:D27"/>
    <mergeCell ref="E25:E27"/>
    <mergeCell ref="F25:F27"/>
    <mergeCell ref="G25:G27"/>
    <mergeCell ref="G22:G24"/>
    <mergeCell ref="J22:J24"/>
    <mergeCell ref="K22:K24"/>
    <mergeCell ref="L22:L24"/>
    <mergeCell ref="M22:M24"/>
    <mergeCell ref="N22:N24"/>
    <mergeCell ref="A22:A24"/>
    <mergeCell ref="B22:B24"/>
    <mergeCell ref="C22:C24"/>
    <mergeCell ref="D22:D24"/>
    <mergeCell ref="Q19:Q20"/>
    <mergeCell ref="Q16:Q17"/>
    <mergeCell ref="A19:A21"/>
    <mergeCell ref="B19:B21"/>
    <mergeCell ref="C19:C21"/>
    <mergeCell ref="D19:D21"/>
    <mergeCell ref="E19:E21"/>
    <mergeCell ref="F19:F21"/>
    <mergeCell ref="G19:G21"/>
    <mergeCell ref="J19:J21"/>
    <mergeCell ref="K19:K21"/>
    <mergeCell ref="K16:K18"/>
    <mergeCell ref="L16:L18"/>
    <mergeCell ref="M16:M18"/>
    <mergeCell ref="N16:N18"/>
    <mergeCell ref="O16:O18"/>
    <mergeCell ref="P16:P18"/>
    <mergeCell ref="A16:A18"/>
    <mergeCell ref="B16:B18"/>
    <mergeCell ref="G16:G18"/>
    <mergeCell ref="J16:J18"/>
    <mergeCell ref="J13:J15"/>
    <mergeCell ref="O10:O12"/>
    <mergeCell ref="P10:P12"/>
    <mergeCell ref="Q10:Q11"/>
    <mergeCell ref="A13:A15"/>
    <mergeCell ref="B13:B15"/>
    <mergeCell ref="C13:C15"/>
    <mergeCell ref="D13:D15"/>
    <mergeCell ref="E13:E15"/>
    <mergeCell ref="F13:F15"/>
    <mergeCell ref="G13:G15"/>
    <mergeCell ref="G10:G12"/>
    <mergeCell ref="J10:J12"/>
    <mergeCell ref="K10:K12"/>
    <mergeCell ref="L10:L12"/>
    <mergeCell ref="M10:M12"/>
    <mergeCell ref="N10:N12"/>
    <mergeCell ref="A10:A12"/>
    <mergeCell ref="B10:B12"/>
    <mergeCell ref="C10:C12"/>
    <mergeCell ref="D10:D12"/>
    <mergeCell ref="E10:E12"/>
    <mergeCell ref="I13:I15"/>
    <mergeCell ref="L4:L6"/>
    <mergeCell ref="M4:M6"/>
    <mergeCell ref="N4:N6"/>
    <mergeCell ref="O4:O6"/>
    <mergeCell ref="P4:P6"/>
    <mergeCell ref="F10:F12"/>
    <mergeCell ref="P13:P15"/>
    <mergeCell ref="Q13:Q14"/>
    <mergeCell ref="L7:L9"/>
    <mergeCell ref="M7:M9"/>
    <mergeCell ref="N7:N9"/>
    <mergeCell ref="O7:O9"/>
    <mergeCell ref="P7:P9"/>
    <mergeCell ref="Q7:Q8"/>
    <mergeCell ref="K13:K15"/>
    <mergeCell ref="L13:L15"/>
    <mergeCell ref="M13:M15"/>
    <mergeCell ref="N13:N15"/>
    <mergeCell ref="O13:O15"/>
    <mergeCell ref="H4:H6"/>
    <mergeCell ref="I4:I6"/>
    <mergeCell ref="H7:H9"/>
    <mergeCell ref="I7:I9"/>
    <mergeCell ref="I10:I12"/>
    <mergeCell ref="A7:A9"/>
    <mergeCell ref="B7:B9"/>
    <mergeCell ref="C7:C9"/>
    <mergeCell ref="D7:D9"/>
    <mergeCell ref="E7:E9"/>
    <mergeCell ref="F7:F9"/>
    <mergeCell ref="G7:G9"/>
    <mergeCell ref="J7:J9"/>
    <mergeCell ref="K7:K9"/>
    <mergeCell ref="P1:P3"/>
    <mergeCell ref="Q1:Q3"/>
    <mergeCell ref="A4:A6"/>
    <mergeCell ref="B4:B6"/>
    <mergeCell ref="C4:C6"/>
    <mergeCell ref="D4:D6"/>
    <mergeCell ref="E4:E6"/>
    <mergeCell ref="F4:F6"/>
    <mergeCell ref="G4:G6"/>
    <mergeCell ref="J4:J6"/>
    <mergeCell ref="J1:J3"/>
    <mergeCell ref="K1:K3"/>
    <mergeCell ref="L1:L3"/>
    <mergeCell ref="M1:M3"/>
    <mergeCell ref="N1:N3"/>
    <mergeCell ref="O1:O3"/>
    <mergeCell ref="B1:B3"/>
    <mergeCell ref="C1:C3"/>
    <mergeCell ref="D1:D3"/>
    <mergeCell ref="E1:E3"/>
    <mergeCell ref="F1:F3"/>
    <mergeCell ref="G1:G3"/>
    <mergeCell ref="Q4:Q5"/>
    <mergeCell ref="K4:K6"/>
  </mergeCells>
  <conditionalFormatting sqref="A4:A12 A16:A36">
    <cfRule type="cellIs" dxfId="55" priority="4" stopIfTrue="1" operator="equal">
      <formula>0</formula>
    </cfRule>
  </conditionalFormatting>
  <conditionalFormatting sqref="B4:L4 B5:G6 J5:L6 B7:L7 B8:G9 J8:L9 B10:L10 B11:G12 J11:L12 B13:L13 B14:G15 J14:L15 B16:L16 B17:G18 J17:L18 B19:L19 B20:G21 J20:L21 B22:L22 B23:G24 J23:L24 B25:L25 B26:G27 J26:L27 B28:L28 B29:G30 J29:L30 B31:L31 B32:G33 J32:L33 B34:L34 B35:G36 J35:L36">
    <cfRule type="cellIs" priority="2" operator="equal">
      <formula>""</formula>
    </cfRule>
    <cfRule type="expression" dxfId="54" priority="3" stopIfTrue="1">
      <formula>OFFSET($A$2,(COLUMN()-1)*3-1,(ROW()+2)/3-1,1,1)&lt;&gt;CONCATENATE(RIGHT(B4,1),MID(B4,2,1),LEFT(B4,1))</formula>
    </cfRule>
  </conditionalFormatting>
  <conditionalFormatting sqref="Q7 Q10 Q13 Q16 Q19 Q22 Q25 Q4 Q28 Q31 Q34">
    <cfRule type="iconSet" priority="1">
      <iconSet iconSet="3Arrows" reverse="1">
        <cfvo type="percent" val="0"/>
        <cfvo type="num" val="2" gte="0"/>
        <cfvo type="num" val="MIN(($A$3-2),(MAX($Q$4:$Q$30)))"/>
      </iconSet>
    </cfRule>
  </conditionalFormatting>
  <dataValidations count="1">
    <dataValidation type="list" allowBlank="1" showInputMessage="1" showErrorMessage="1" sqref="B4:G36 J4:L36 H4:I4 H7:I7 H10:I10 H13:I13 H16:I16 H19:I19 H22:I22 H25:I25 H28:I28 H31:I31 H34:I34" xr:uid="{00000000-0002-0000-06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90" orientation="landscape" r:id="rId1"/>
  <headerFooter>
    <oddHeader>&amp;C&amp;A</oddHeader>
    <oddFooter>&amp;LPrepared by City Squash Club&amp;C&amp;F&amp;R&amp;D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T40"/>
  <sheetViews>
    <sheetView tabSelected="1" zoomScale="80" zoomScaleNormal="80" workbookViewId="0">
      <selection activeCell="I28" sqref="I28:I30"/>
    </sheetView>
  </sheetViews>
  <sheetFormatPr baseColWidth="10" defaultColWidth="8.83203125" defaultRowHeight="15"/>
  <cols>
    <col min="1" max="6" width="12.33203125" customWidth="1"/>
    <col min="7" max="7" width="10.1640625" customWidth="1"/>
    <col min="8" max="9" width="11" customWidth="1"/>
    <col min="10" max="11" width="10.6640625" customWidth="1"/>
    <col min="12" max="14" width="8.5" customWidth="1"/>
    <col min="15" max="15" width="12" customWidth="1"/>
    <col min="16" max="16" width="26.33203125" customWidth="1"/>
    <col min="17" max="17" width="10.6640625" style="4" customWidth="1"/>
  </cols>
  <sheetData>
    <row r="1" spans="1:18" ht="15.75" customHeight="1">
      <c r="A1" s="21"/>
      <c r="B1" s="98" t="str">
        <f t="shared" ref="B1:J1" ca="1" si="0">VLOOKUP(CONCATENATE(LEFT($A$2,1),COLUMN()-1),nevezettek,3,FALSE)</f>
        <v>Bakos Mátyás</v>
      </c>
      <c r="C1" s="98" t="str">
        <f t="shared" ca="1" si="0"/>
        <v>Szerdahelyi Dániel</v>
      </c>
      <c r="D1" s="98" t="str">
        <f t="shared" ca="1" si="0"/>
        <v>Vincze Krisztián</v>
      </c>
      <c r="E1" s="98" t="str">
        <f t="shared" ca="1" si="0"/>
        <v>Hajba Tibor</v>
      </c>
      <c r="F1" s="98" t="str">
        <f t="shared" ca="1" si="0"/>
        <v>Hajba Zoé</v>
      </c>
      <c r="G1" s="98" t="str">
        <f t="shared" ca="1" si="0"/>
        <v>Kovács Zsolt</v>
      </c>
      <c r="H1" s="98" t="str">
        <f t="shared" ca="1" si="0"/>
        <v>Szekeres Martin</v>
      </c>
      <c r="I1" s="98" t="str">
        <f t="shared" ca="1" si="0"/>
        <v>Némeh Balázs</v>
      </c>
      <c r="J1" s="107" t="str">
        <f t="shared" ca="1" si="0"/>
        <v>Nagy Zoltán</v>
      </c>
      <c r="K1" s="110" t="s">
        <v>31</v>
      </c>
      <c r="L1" s="113" t="s">
        <v>59</v>
      </c>
      <c r="M1" s="89" t="s">
        <v>58</v>
      </c>
      <c r="N1" s="92" t="s">
        <v>65</v>
      </c>
      <c r="O1" s="95" t="s">
        <v>167</v>
      </c>
      <c r="P1" s="4"/>
    </row>
    <row r="2" spans="1:18">
      <c r="A2" s="22" t="str">
        <f ca="1">RIGHT(CELL("filename",A1),6)</f>
        <v>E liga</v>
      </c>
      <c r="B2" s="99"/>
      <c r="C2" s="99"/>
      <c r="D2" s="99"/>
      <c r="E2" s="99"/>
      <c r="F2" s="99"/>
      <c r="G2" s="99"/>
      <c r="H2" s="99"/>
      <c r="I2" s="99"/>
      <c r="J2" s="108"/>
      <c r="K2" s="111"/>
      <c r="L2" s="114"/>
      <c r="M2" s="90"/>
      <c r="N2" s="93"/>
      <c r="O2" s="96"/>
      <c r="P2" s="4"/>
    </row>
    <row r="3" spans="1:18">
      <c r="A3" s="23">
        <f ca="1">COUNTIF(Ligabeosztas!D:D,LEFT(A2,1))</f>
        <v>9</v>
      </c>
      <c r="B3" s="100"/>
      <c r="C3" s="100"/>
      <c r="D3" s="100"/>
      <c r="E3" s="100"/>
      <c r="F3" s="100"/>
      <c r="G3" s="100"/>
      <c r="H3" s="100"/>
      <c r="I3" s="100"/>
      <c r="J3" s="109"/>
      <c r="K3" s="112"/>
      <c r="L3" s="115"/>
      <c r="M3" s="91"/>
      <c r="N3" s="94"/>
      <c r="O3" s="97"/>
      <c r="P3" s="4"/>
      <c r="Q3" s="24"/>
    </row>
    <row r="4" spans="1:18" ht="15" customHeight="1">
      <c r="A4" s="98" t="str">
        <f ca="1">B1</f>
        <v>Bakos Mátyás</v>
      </c>
      <c r="B4" s="101"/>
      <c r="C4" s="104" t="s">
        <v>64</v>
      </c>
      <c r="D4" s="104"/>
      <c r="E4" s="104"/>
      <c r="F4" s="104" t="s">
        <v>125</v>
      </c>
      <c r="G4" s="104"/>
      <c r="H4" s="104"/>
      <c r="I4" s="104"/>
      <c r="J4" s="124"/>
      <c r="K4" s="127">
        <f>5*(COUNTIF(B4:J6,"5/0")+COUNTIF(B4:J6,"4/1")+COUNTIF(B4:J6,"3/2")+COUNTIF(B4:J6,"5/-"))+3*COUNTIF(B4:J6,"2/3")+2*COUNTIF(B4:J6,"1/4")+COUNTIF(B4:J6,"0/5")+0.01*L4+0.0001*(M4)</f>
        <v>8.0106000000000002</v>
      </c>
      <c r="L4" s="130">
        <f>1*COUNTIF(B4:J6,"5/0")+1*COUNTIF(B4:J6,"4/1")+1*COUNTIF(B4:J6,"3/2")+1*COUNTIF(B4:J6,"5/-")+0*COUNTIF(B4:J6,"2/3")+0*COUNTIF(B4:J6,"1/4")+0*COUNTIF(B4:J6,"0/5")</f>
        <v>1</v>
      </c>
      <c r="M4" s="116">
        <f>5*COUNTIF(B4:J6,"5/0")+4*COUNTIF(B4:J6,"4/1")+3*COUNTIF(B4:J6,"3/2")+5*COUNTIF(B4:J6,"5/-")+2*COUNTIF(B4:J6,"2/3")+1*COUNTIF(B4:J6,"1/4")+0*COUNTIF(B4:J6,"0/5")</f>
        <v>6</v>
      </c>
      <c r="N4" s="119">
        <f>0*COUNTIF(B4:J6,"5/0")+1*COUNTIF(B4:J6,"4/1")+2*COUNTIF(B4:J6,"3/2")+3*COUNTIF(B4:J6,"2/3")+4*COUNTIF(B4:J6,"1/4")+5*COUNTIF(B4:J6,"0/5")+5*COUNTIF(B4:J6,"-/5")</f>
        <v>4</v>
      </c>
      <c r="O4" s="133">
        <f>RANK(K4,K$4:K$30)</f>
        <v>4</v>
      </c>
      <c r="P4" s="9"/>
    </row>
    <row r="5" spans="1:18">
      <c r="A5" s="99"/>
      <c r="B5" s="102"/>
      <c r="C5" s="105"/>
      <c r="D5" s="105"/>
      <c r="E5" s="105"/>
      <c r="F5" s="105"/>
      <c r="G5" s="105"/>
      <c r="H5" s="105"/>
      <c r="I5" s="105"/>
      <c r="J5" s="125"/>
      <c r="K5" s="128"/>
      <c r="L5" s="131"/>
      <c r="M5" s="117"/>
      <c r="N5" s="120"/>
      <c r="O5" s="134"/>
      <c r="P5" s="4"/>
    </row>
    <row r="6" spans="1:18">
      <c r="A6" s="100"/>
      <c r="B6" s="103"/>
      <c r="C6" s="106"/>
      <c r="D6" s="106"/>
      <c r="E6" s="106"/>
      <c r="F6" s="106"/>
      <c r="G6" s="106"/>
      <c r="H6" s="106"/>
      <c r="I6" s="106"/>
      <c r="J6" s="126"/>
      <c r="K6" s="129"/>
      <c r="L6" s="132"/>
      <c r="M6" s="118"/>
      <c r="N6" s="121"/>
      <c r="O6" s="29">
        <f>IFERROR(K4/SUM(M4:N6),0)</f>
        <v>0.80105999999999999</v>
      </c>
      <c r="P6" s="10"/>
    </row>
    <row r="7" spans="1:18">
      <c r="A7" s="98" t="str">
        <f ca="1">C1</f>
        <v>Szerdahelyi Dániel</v>
      </c>
      <c r="B7" s="104" t="s">
        <v>63</v>
      </c>
      <c r="C7" s="101"/>
      <c r="D7" s="104" t="s">
        <v>63</v>
      </c>
      <c r="E7" s="104"/>
      <c r="F7" s="104"/>
      <c r="G7" s="104"/>
      <c r="H7" s="104" t="s">
        <v>63</v>
      </c>
      <c r="I7" s="104"/>
      <c r="J7" s="124"/>
      <c r="K7" s="127">
        <f t="shared" ref="K7" si="1">5*(COUNTIF(B7:J9,"5/0")+COUNTIF(B7:J9,"4/1")+COUNTIF(B7:J9,"3/2")+COUNTIF(B7:J9,"5/-"))+3*COUNTIF(B7:J9,"2/3")+2*COUNTIF(B7:J9,"1/4")+COUNTIF(B7:J9,"0/5")+0.01*L7+0.0001*(M7)</f>
        <v>15.030899999999999</v>
      </c>
      <c r="L7" s="130">
        <f>1*COUNTIF(B7:J9,"5/0")+1*COUNTIF(B7:J9,"4/1")+1*COUNTIF(B7:J9,"3/2")+1*COUNTIF(B7:J9,"5/-")+0*COUNTIF(B7:J9,"2/3")+0*COUNTIF(B7:J9,"1/4")+0*COUNTIF(B7:J9,"0/5")</f>
        <v>3</v>
      </c>
      <c r="M7" s="116">
        <f>5*COUNTIF(B7:J9,"5/0")+4*COUNTIF(B7:J9,"4/1")+3*COUNTIF(B7:J9,"3/2")+5*COUNTIF(B7:J9,"5/-")+2*COUNTIF(B7:J9,"2/3")+1*COUNTIF(B7:J9,"1/4")+0*COUNTIF(B7:J9,"0/5")</f>
        <v>9</v>
      </c>
      <c r="N7" s="119">
        <f>0*COUNTIF(B7:J9,"5/0")+1*COUNTIF(B7:J9,"4/1")+2*COUNTIF(B7:J9,"3/2")+3*COUNTIF(B7:J9,"2/3")+4*COUNTIF(B7:J9,"1/4")+5*COUNTIF(B7:J9,"0/5")+5*COUNTIF(B7:J9,"-/5")</f>
        <v>6</v>
      </c>
      <c r="O7" s="133">
        <f>RANK(K7,K$4:K$30)</f>
        <v>1</v>
      </c>
      <c r="P7" s="10"/>
      <c r="R7" s="5"/>
    </row>
    <row r="8" spans="1:18">
      <c r="A8" s="99"/>
      <c r="B8" s="105"/>
      <c r="C8" s="102"/>
      <c r="D8" s="105"/>
      <c r="E8" s="105"/>
      <c r="F8" s="105"/>
      <c r="G8" s="105"/>
      <c r="H8" s="105"/>
      <c r="I8" s="105"/>
      <c r="J8" s="125"/>
      <c r="K8" s="128"/>
      <c r="L8" s="131"/>
      <c r="M8" s="117"/>
      <c r="N8" s="120"/>
      <c r="O8" s="134"/>
      <c r="P8" s="2"/>
      <c r="R8" s="5"/>
    </row>
    <row r="9" spans="1:18">
      <c r="A9" s="100"/>
      <c r="B9" s="106"/>
      <c r="C9" s="103"/>
      <c r="D9" s="106"/>
      <c r="E9" s="106"/>
      <c r="F9" s="106"/>
      <c r="G9" s="106"/>
      <c r="H9" s="106"/>
      <c r="I9" s="106"/>
      <c r="J9" s="126"/>
      <c r="K9" s="129"/>
      <c r="L9" s="132"/>
      <c r="M9" s="118"/>
      <c r="N9" s="121"/>
      <c r="O9" s="29">
        <f>IFERROR(K7/SUM(M7:N9),0)</f>
        <v>1.00206</v>
      </c>
      <c r="P9" s="10"/>
      <c r="R9" s="8"/>
    </row>
    <row r="10" spans="1:18">
      <c r="A10" s="98" t="str">
        <f ca="1">D1</f>
        <v>Vincze Krisztián</v>
      </c>
      <c r="B10" s="104"/>
      <c r="C10" s="104" t="s">
        <v>64</v>
      </c>
      <c r="D10" s="101"/>
      <c r="E10" s="104" t="s">
        <v>125</v>
      </c>
      <c r="F10" s="104" t="s">
        <v>63</v>
      </c>
      <c r="G10" s="104"/>
      <c r="H10" s="104"/>
      <c r="I10" s="104"/>
      <c r="J10" s="124"/>
      <c r="K10" s="127">
        <f t="shared" ref="K10" si="2">5*(COUNTIF(B10:J12,"5/0")+COUNTIF(B10:J12,"4/1")+COUNTIF(B10:J12,"3/2")+COUNTIF(B10:J12,"5/-"))+3*COUNTIF(B10:J12,"2/3")+2*COUNTIF(B10:J12,"1/4")+COUNTIF(B10:J12,"0/5")+0.01*L10+0.0001*(M10)</f>
        <v>13.020899999999999</v>
      </c>
      <c r="L10" s="130">
        <f>1*COUNTIF(B10:J12,"5/0")+1*COUNTIF(B10:J12,"4/1")+1*COUNTIF(B10:J12,"3/2")+1*COUNTIF(B10:J12,"5/-")+0*COUNTIF(B10:J12,"2/3")+0*COUNTIF(B10:J12,"1/4")+0*COUNTIF(B10:J12,"0/5")</f>
        <v>2</v>
      </c>
      <c r="M10" s="116">
        <f>5*COUNTIF(B10:J12,"5/0")+4*COUNTIF(B10:J12,"4/1")+3*COUNTIF(B10:J12,"3/2")+5*COUNTIF(B10:J12,"5/-")+2*COUNTIF(B10:J12,"2/3")+1*COUNTIF(B10:J12,"1/4")+0*COUNTIF(B10:J12,"0/5")</f>
        <v>9</v>
      </c>
      <c r="N10" s="119">
        <f>0*COUNTIF(B10:J12,"5/0")+1*COUNTIF(B10:J12,"4/1")+2*COUNTIF(B10:J12,"3/2")+3*COUNTIF(B10:J12,"2/3")+4*COUNTIF(B10:J12,"1/4")+5*COUNTIF(B10:J12,"0/5")+5*COUNTIF(B10:J12,"-/5")</f>
        <v>6</v>
      </c>
      <c r="O10" s="133">
        <f>RANK(K10,K$4:K$30)</f>
        <v>2</v>
      </c>
      <c r="P10" s="10"/>
    </row>
    <row r="11" spans="1:18">
      <c r="A11" s="99"/>
      <c r="B11" s="105"/>
      <c r="C11" s="105"/>
      <c r="D11" s="102"/>
      <c r="E11" s="105"/>
      <c r="F11" s="105"/>
      <c r="G11" s="105"/>
      <c r="H11" s="105"/>
      <c r="I11" s="105"/>
      <c r="J11" s="125"/>
      <c r="K11" s="128"/>
      <c r="L11" s="131"/>
      <c r="M11" s="117"/>
      <c r="N11" s="120"/>
      <c r="O11" s="134"/>
      <c r="P11" s="1"/>
      <c r="R11" s="6"/>
    </row>
    <row r="12" spans="1:18">
      <c r="A12" s="100"/>
      <c r="B12" s="106"/>
      <c r="C12" s="106"/>
      <c r="D12" s="103"/>
      <c r="E12" s="106"/>
      <c r="F12" s="106"/>
      <c r="G12" s="106"/>
      <c r="H12" s="106"/>
      <c r="I12" s="106"/>
      <c r="J12" s="126"/>
      <c r="K12" s="129"/>
      <c r="L12" s="132"/>
      <c r="M12" s="118"/>
      <c r="N12" s="121"/>
      <c r="O12" s="29">
        <f>IFERROR(K10/SUM(M10:N12),0)</f>
        <v>0.86805999999999994</v>
      </c>
      <c r="P12" s="10"/>
    </row>
    <row r="13" spans="1:18">
      <c r="A13" s="98" t="str">
        <f ca="1">E1</f>
        <v>Hajba Tibor</v>
      </c>
      <c r="B13" s="104"/>
      <c r="C13" s="104"/>
      <c r="D13" s="104" t="s">
        <v>126</v>
      </c>
      <c r="E13" s="101"/>
      <c r="F13" s="104"/>
      <c r="G13" s="104"/>
      <c r="H13" s="104"/>
      <c r="I13" s="104" t="s">
        <v>126</v>
      </c>
      <c r="J13" s="124"/>
      <c r="K13" s="127">
        <f t="shared" ref="K13" si="3">5*(COUNTIF(B13:J15,"5/0")+COUNTIF(B13:J15,"4/1")+COUNTIF(B13:J15,"3/2")+COUNTIF(B13:J15,"5/-"))+3*COUNTIF(B13:J15,"2/3")+2*COUNTIF(B13:J15,"1/4")+COUNTIF(B13:J15,"0/5")+0.01*L13+0.0001*(M13)</f>
        <v>4.0002000000000004</v>
      </c>
      <c r="L13" s="130">
        <f>1*COUNTIF(B13:J15,"5/0")+1*COUNTIF(B13:J15,"4/1")+1*COUNTIF(B13:J15,"3/2")+1*COUNTIF(B13:J15,"5/-")+0*COUNTIF(B13:J15,"2/3")+0*COUNTIF(B13:J15,"1/4")+0*COUNTIF(B13:J15,"0/5")</f>
        <v>0</v>
      </c>
      <c r="M13" s="116">
        <f>5*COUNTIF(B13:J15,"5/0")+4*COUNTIF(B13:J15,"4/1")+3*COUNTIF(B13:J15,"3/2")+5*COUNTIF(B13:J15,"5/-")+2*COUNTIF(B13:J15,"2/3")+1*COUNTIF(B13:J15,"1/4")+0*COUNTIF(B13:J15,"0/5")</f>
        <v>2</v>
      </c>
      <c r="N13" s="119">
        <f>0*COUNTIF(B13:J15,"5/0")+1*COUNTIF(B13:J15,"4/1")+2*COUNTIF(B13:J15,"3/2")+3*COUNTIF(B13:J15,"2/3")+4*COUNTIF(B13:J15,"1/4")+5*COUNTIF(B13:J15,"0/5")+5*COUNTIF(B13:J15,"-/5")</f>
        <v>8</v>
      </c>
      <c r="O13" s="133">
        <f>RANK(K13,K$4:K$30)</f>
        <v>6</v>
      </c>
      <c r="P13" s="10"/>
    </row>
    <row r="14" spans="1:18">
      <c r="A14" s="99"/>
      <c r="B14" s="105"/>
      <c r="C14" s="105"/>
      <c r="D14" s="105"/>
      <c r="E14" s="102"/>
      <c r="F14" s="105"/>
      <c r="G14" s="105"/>
      <c r="H14" s="105"/>
      <c r="I14" s="105"/>
      <c r="J14" s="125"/>
      <c r="K14" s="128"/>
      <c r="L14" s="131"/>
      <c r="M14" s="117"/>
      <c r="N14" s="120"/>
      <c r="O14" s="134"/>
      <c r="P14" s="4"/>
      <c r="R14" s="6"/>
    </row>
    <row r="15" spans="1:18">
      <c r="A15" s="100"/>
      <c r="B15" s="106"/>
      <c r="C15" s="106"/>
      <c r="D15" s="106"/>
      <c r="E15" s="103"/>
      <c r="F15" s="106"/>
      <c r="G15" s="106"/>
      <c r="H15" s="106"/>
      <c r="I15" s="106"/>
      <c r="J15" s="126"/>
      <c r="K15" s="129"/>
      <c r="L15" s="132"/>
      <c r="M15" s="118"/>
      <c r="N15" s="121"/>
      <c r="O15" s="29">
        <f>IFERROR(K13/SUM(M13:N15),0)</f>
        <v>0.40002000000000004</v>
      </c>
      <c r="P15" s="10"/>
    </row>
    <row r="16" spans="1:18">
      <c r="A16" s="98" t="str">
        <f ca="1">F1</f>
        <v>Hajba Zoé</v>
      </c>
      <c r="B16" s="104" t="s">
        <v>126</v>
      </c>
      <c r="C16" s="104"/>
      <c r="D16" s="104" t="s">
        <v>64</v>
      </c>
      <c r="E16" s="104"/>
      <c r="F16" s="101"/>
      <c r="G16" s="104"/>
      <c r="H16" s="104"/>
      <c r="I16" s="104"/>
      <c r="J16" s="124"/>
      <c r="K16" s="127">
        <f t="shared" ref="K16" si="4">5*(COUNTIF(B16:J18,"5/0")+COUNTIF(B16:J18,"4/1")+COUNTIF(B16:J18,"3/2")+COUNTIF(B16:J18,"5/-"))+3*COUNTIF(B16:J18,"2/3")+2*COUNTIF(B16:J18,"1/4")+COUNTIF(B16:J18,"0/5")+0.01*L16+0.0001*(M16)</f>
        <v>5.0003000000000002</v>
      </c>
      <c r="L16" s="130">
        <f>1*COUNTIF(B16:J18,"5/0")+1*COUNTIF(B16:J18,"4/1")+1*COUNTIF(B16:J18,"3/2")+1*COUNTIF(B16:J18,"5/-")+0*COUNTIF(B16:J18,"2/3")+0*COUNTIF(B16:J18,"1/4")+0*COUNTIF(B16:J18,"0/5")</f>
        <v>0</v>
      </c>
      <c r="M16" s="116">
        <f>5*COUNTIF(B16:J18,"5/0")+4*COUNTIF(B16:J18,"4/1")+3*COUNTIF(B16:J18,"3/2")+5*COUNTIF(B16:J18,"5/-")+2*COUNTIF(B16:J18,"2/3")+1*COUNTIF(B16:J18,"1/4")+0*COUNTIF(B16:J18,"0/5")</f>
        <v>3</v>
      </c>
      <c r="N16" s="119">
        <f>0*COUNTIF(B16:J18,"5/0")+1*COUNTIF(B16:J18,"4/1")+2*COUNTIF(B16:J18,"3/2")+3*COUNTIF(B16:J18,"2/3")+4*COUNTIF(B16:J18,"1/4")+5*COUNTIF(B16:J18,"0/5")+5*COUNTIF(B16:J18,"-/5")</f>
        <v>7</v>
      </c>
      <c r="O16" s="133">
        <f>RANK(K16,K$4:K$30)</f>
        <v>5</v>
      </c>
      <c r="P16" s="10"/>
    </row>
    <row r="17" spans="1:20">
      <c r="A17" s="99"/>
      <c r="B17" s="105"/>
      <c r="C17" s="105"/>
      <c r="D17" s="105"/>
      <c r="E17" s="105"/>
      <c r="F17" s="102"/>
      <c r="G17" s="105"/>
      <c r="H17" s="105"/>
      <c r="I17" s="105"/>
      <c r="J17" s="125"/>
      <c r="K17" s="128"/>
      <c r="L17" s="131"/>
      <c r="M17" s="117"/>
      <c r="N17" s="120"/>
      <c r="O17" s="134"/>
      <c r="P17" s="4"/>
    </row>
    <row r="18" spans="1:20">
      <c r="A18" s="100"/>
      <c r="B18" s="106"/>
      <c r="C18" s="106"/>
      <c r="D18" s="106"/>
      <c r="E18" s="106"/>
      <c r="F18" s="103"/>
      <c r="G18" s="106"/>
      <c r="H18" s="106"/>
      <c r="I18" s="106"/>
      <c r="J18" s="126"/>
      <c r="K18" s="129"/>
      <c r="L18" s="132"/>
      <c r="M18" s="118"/>
      <c r="N18" s="121"/>
      <c r="O18" s="29">
        <f>IFERROR(K16/SUM(M16:N18),0)</f>
        <v>0.50002999999999997</v>
      </c>
      <c r="P18" s="10"/>
    </row>
    <row r="19" spans="1:20">
      <c r="A19" s="98" t="str">
        <f ca="1">G1</f>
        <v>Kovács Zsolt</v>
      </c>
      <c r="B19" s="104"/>
      <c r="C19" s="104"/>
      <c r="D19" s="104"/>
      <c r="E19" s="104"/>
      <c r="F19" s="104"/>
      <c r="G19" s="101"/>
      <c r="H19" s="104"/>
      <c r="I19" s="104"/>
      <c r="J19" s="124"/>
      <c r="K19" s="127">
        <f t="shared" ref="K19" si="5">5*(COUNTIF(B19:J21,"5/0")+COUNTIF(B19:J21,"4/1")+COUNTIF(B19:J21,"3/2")+COUNTIF(B19:J21,"5/-"))+3*COUNTIF(B19:J21,"2/3")+2*COUNTIF(B19:J21,"1/4")+COUNTIF(B19:J21,"0/5")+0.01*L19+0.0001*(M19)</f>
        <v>0</v>
      </c>
      <c r="L19" s="130">
        <f>1*COUNTIF(B19:J21,"5/0")+1*COUNTIF(B19:J21,"4/1")+1*COUNTIF(B19:J21,"3/2")+1*COUNTIF(B19:J21,"5/-")+0*COUNTIF(B19:J21,"2/3")+0*COUNTIF(B19:J21,"1/4")+0*COUNTIF(B19:J21,"0/5")</f>
        <v>0</v>
      </c>
      <c r="M19" s="116">
        <f>5*COUNTIF(B19:J21,"5/0")+4*COUNTIF(B19:J21,"4/1")+3*COUNTIF(B19:J21,"3/2")+5*COUNTIF(B19:J21,"5/-")+2*COUNTIF(B19:J21,"2/3")+1*COUNTIF(B19:J21,"1/4")+0*COUNTIF(B19:J21,"0/5")</f>
        <v>0</v>
      </c>
      <c r="N19" s="119">
        <f>0*COUNTIF(B19:J21,"5/0")+1*COUNTIF(B19:J21,"4/1")+2*COUNTIF(B19:J21,"3/2")+3*COUNTIF(B19:J21,"2/3")+4*COUNTIF(B19:J21,"1/4")+5*COUNTIF(B19:J21,"0/5")+5*COUNTIF(B19:J21,"-/5")</f>
        <v>0</v>
      </c>
      <c r="O19" s="133">
        <f>RANK(K19,K$4:K$30)</f>
        <v>9</v>
      </c>
      <c r="P19" s="10"/>
      <c r="R19" s="5"/>
    </row>
    <row r="20" spans="1:20">
      <c r="A20" s="99"/>
      <c r="B20" s="105"/>
      <c r="C20" s="105"/>
      <c r="D20" s="105"/>
      <c r="E20" s="105"/>
      <c r="F20" s="105"/>
      <c r="G20" s="102"/>
      <c r="H20" s="105"/>
      <c r="I20" s="105"/>
      <c r="J20" s="125"/>
      <c r="K20" s="128"/>
      <c r="L20" s="131"/>
      <c r="M20" s="117"/>
      <c r="N20" s="120"/>
      <c r="O20" s="134"/>
      <c r="P20" s="1"/>
      <c r="R20" s="5"/>
    </row>
    <row r="21" spans="1:20">
      <c r="A21" s="100"/>
      <c r="B21" s="106"/>
      <c r="C21" s="106"/>
      <c r="D21" s="106"/>
      <c r="E21" s="106"/>
      <c r="F21" s="106"/>
      <c r="G21" s="103"/>
      <c r="H21" s="106"/>
      <c r="I21" s="106"/>
      <c r="J21" s="126"/>
      <c r="K21" s="129"/>
      <c r="L21" s="132"/>
      <c r="M21" s="118"/>
      <c r="N21" s="121"/>
      <c r="O21" s="29">
        <f>IFERROR(K19/SUM(M19:N21),0)</f>
        <v>0</v>
      </c>
      <c r="P21" s="10"/>
    </row>
    <row r="22" spans="1:20" ht="14.5" customHeight="1">
      <c r="A22" s="98" t="str">
        <f ca="1">H1</f>
        <v>Szekeres Martin</v>
      </c>
      <c r="B22" s="104"/>
      <c r="C22" s="104" t="s">
        <v>64</v>
      </c>
      <c r="D22" s="104"/>
      <c r="E22" s="104"/>
      <c r="F22" s="104"/>
      <c r="G22" s="104"/>
      <c r="H22" s="101"/>
      <c r="I22" s="104"/>
      <c r="J22" s="124"/>
      <c r="K22" s="127">
        <f t="shared" ref="K22" si="6">5*(COUNTIF(B22:J24,"5/0")+COUNTIF(B22:J24,"4/1")+COUNTIF(B22:J24,"3/2")+COUNTIF(B22:J24,"5/-"))+3*COUNTIF(B22:J24,"2/3")+2*COUNTIF(B22:J24,"1/4")+COUNTIF(B22:J24,"0/5")+0.01*L22+0.0001*(M22)</f>
        <v>3.0002</v>
      </c>
      <c r="L22" s="130">
        <f>1*COUNTIF(B22:J24,"5/0")+1*COUNTIF(B22:J24,"4/1")+1*COUNTIF(B22:J24,"3/2")+1*COUNTIF(B22:J24,"5/-")+0*COUNTIF(B22:J24,"2/3")+0*COUNTIF(B22:J24,"1/4")+0*COUNTIF(B22:J24,"0/5")</f>
        <v>0</v>
      </c>
      <c r="M22" s="116">
        <f>5*COUNTIF(B22:J24,"5/0")+4*COUNTIF(B22:J24,"4/1")+3*COUNTIF(B22:J24,"3/2")+5*COUNTIF(B22:J24,"5/-")+2*COUNTIF(B22:J24,"2/3")+1*COUNTIF(B22:J24,"1/4")+0*COUNTIF(B22:J24,"0/5")</f>
        <v>2</v>
      </c>
      <c r="N22" s="119">
        <f>0*COUNTIF(B22:J24,"5/0")+1*COUNTIF(B22:J24,"4/1")+2*COUNTIF(B22:J24,"3/2")+3*COUNTIF(B22:J24,"2/3")+4*COUNTIF(B22:J24,"1/4")+5*COUNTIF(B22:J24,"0/5")+5*COUNTIF(B22:J24,"-/5")</f>
        <v>3</v>
      </c>
      <c r="O22" s="133">
        <f>RANK(K22,K$4:K$30)</f>
        <v>7</v>
      </c>
      <c r="P22" s="10"/>
    </row>
    <row r="23" spans="1:20" ht="13.25" customHeight="1">
      <c r="A23" s="99"/>
      <c r="B23" s="105"/>
      <c r="C23" s="105"/>
      <c r="D23" s="105"/>
      <c r="E23" s="105"/>
      <c r="F23" s="105"/>
      <c r="G23" s="105"/>
      <c r="H23" s="102"/>
      <c r="I23" s="105"/>
      <c r="J23" s="125"/>
      <c r="K23" s="128"/>
      <c r="L23" s="131"/>
      <c r="M23" s="117"/>
      <c r="N23" s="120"/>
      <c r="O23" s="134"/>
      <c r="P23" s="1"/>
      <c r="R23" s="7"/>
      <c r="T23" s="3"/>
    </row>
    <row r="24" spans="1:20" ht="14.5" customHeight="1">
      <c r="A24" s="100"/>
      <c r="B24" s="106"/>
      <c r="C24" s="106"/>
      <c r="D24" s="106"/>
      <c r="E24" s="106"/>
      <c r="F24" s="106"/>
      <c r="G24" s="106"/>
      <c r="H24" s="103"/>
      <c r="I24" s="106"/>
      <c r="J24" s="126"/>
      <c r="K24" s="129"/>
      <c r="L24" s="132"/>
      <c r="M24" s="118"/>
      <c r="N24" s="121"/>
      <c r="O24" s="29">
        <f>IFERROR(K22/SUM(M22:N24),0)</f>
        <v>0.60004000000000002</v>
      </c>
      <c r="P24" s="10"/>
    </row>
    <row r="25" spans="1:20" ht="13.25" customHeight="1">
      <c r="A25" s="98" t="str">
        <f ca="1">I1</f>
        <v>Némeh Balázs</v>
      </c>
      <c r="B25" s="104"/>
      <c r="C25" s="104"/>
      <c r="D25" s="104"/>
      <c r="E25" s="104" t="s">
        <v>125</v>
      </c>
      <c r="F25" s="104"/>
      <c r="G25" s="104"/>
      <c r="H25" s="104"/>
      <c r="I25" s="101"/>
      <c r="J25" s="124" t="s">
        <v>121</v>
      </c>
      <c r="K25" s="127">
        <f t="shared" ref="K25" si="7">5*(COUNTIF(B25:J27,"5/0")+COUNTIF(B25:J27,"4/1")+COUNTIF(B25:J27,"3/2")+COUNTIF(B25:J27,"5/-"))+3*COUNTIF(B25:J27,"2/3")+2*COUNTIF(B25:J27,"1/4")+COUNTIF(B25:J27,"0/5")+0.01*L25+0.0001*(M25)</f>
        <v>10.020899999999999</v>
      </c>
      <c r="L25" s="130">
        <f>1*COUNTIF(B25:J27,"5/0")+1*COUNTIF(B25:J27,"4/1")+1*COUNTIF(B25:J27,"3/2")+1*COUNTIF(B25:J27,"5/-")+0*COUNTIF(B25:J27,"2/3")+0*COUNTIF(B25:J27,"1/4")+0*COUNTIF(B25:J27,"0/5")</f>
        <v>2</v>
      </c>
      <c r="M25" s="116">
        <f>5*COUNTIF(B25:J27,"5/0")+4*COUNTIF(B25:J27,"4/1")+3*COUNTIF(B25:J27,"3/2")+5*COUNTIF(B25:J27,"5/-")+2*COUNTIF(B25:J27,"2/3")+1*COUNTIF(B25:J27,"1/4")+0*COUNTIF(B25:J27,"0/5")</f>
        <v>9</v>
      </c>
      <c r="N25" s="119">
        <f>0*COUNTIF(B25:J27,"5/0")+1*COUNTIF(B25:J27,"4/1")+2*COUNTIF(B25:J27,"3/2")+3*COUNTIF(B25:J27,"2/3")+4*COUNTIF(B25:J27,"1/4")+5*COUNTIF(B25:J27,"0/5")+5*COUNTIF(B25:J27,"-/5")</f>
        <v>1</v>
      </c>
      <c r="O25" s="133">
        <f>RANK(K25,K$4:K$30)</f>
        <v>3</v>
      </c>
      <c r="P25" s="10"/>
    </row>
    <row r="26" spans="1:20" ht="14.5" customHeight="1">
      <c r="A26" s="99"/>
      <c r="B26" s="105"/>
      <c r="C26" s="105"/>
      <c r="D26" s="105"/>
      <c r="E26" s="105"/>
      <c r="F26" s="105"/>
      <c r="G26" s="105"/>
      <c r="H26" s="105"/>
      <c r="I26" s="102"/>
      <c r="J26" s="125"/>
      <c r="K26" s="128"/>
      <c r="L26" s="131"/>
      <c r="M26" s="117"/>
      <c r="N26" s="120"/>
      <c r="O26" s="134"/>
      <c r="P26" s="2"/>
    </row>
    <row r="27" spans="1:20" ht="14.5" customHeight="1">
      <c r="A27" s="100"/>
      <c r="B27" s="106"/>
      <c r="C27" s="106"/>
      <c r="D27" s="106"/>
      <c r="E27" s="106"/>
      <c r="F27" s="106"/>
      <c r="G27" s="106"/>
      <c r="H27" s="106"/>
      <c r="I27" s="103"/>
      <c r="J27" s="126"/>
      <c r="K27" s="129"/>
      <c r="L27" s="132"/>
      <c r="M27" s="118"/>
      <c r="N27" s="121"/>
      <c r="O27" s="29">
        <f>IFERROR(K25/SUM(M25:N27),0)</f>
        <v>1.0020899999999999</v>
      </c>
      <c r="P27" s="10"/>
    </row>
    <row r="28" spans="1:20" ht="14.5" customHeight="1">
      <c r="A28" s="98" t="str">
        <f ca="1">J1</f>
        <v>Nagy Zoltán</v>
      </c>
      <c r="B28" s="104"/>
      <c r="C28" s="104"/>
      <c r="D28" s="104"/>
      <c r="E28" s="104"/>
      <c r="F28" s="104"/>
      <c r="G28" s="104"/>
      <c r="H28" s="104"/>
      <c r="I28" s="104" t="s">
        <v>122</v>
      </c>
      <c r="J28" s="101"/>
      <c r="K28" s="127">
        <f t="shared" ref="K28" si="8">5*(COUNTIF(B28:J30,"5/0")+COUNTIF(B28:J30,"4/1")+COUNTIF(B28:J30,"3/2")+COUNTIF(B28:J30,"5/-"))+3*COUNTIF(B28:J30,"2/3")+2*COUNTIF(B28:J30,"1/4")+COUNTIF(B28:J30,"0/5")+0.01*L28+0.0001*(M28)</f>
        <v>1</v>
      </c>
      <c r="L28" s="130">
        <f>1*COUNTIF(B28:J30,"5/0")+1*COUNTIF(B28:J30,"4/1")+1*COUNTIF(B28:J30,"3/2")+1*COUNTIF(B28:J30,"5/-")+0*COUNTIF(B28:J30,"2/3")+0*COUNTIF(B28:J30,"1/4")+0*COUNTIF(B28:J30,"0/5")</f>
        <v>0</v>
      </c>
      <c r="M28" s="116">
        <f>5*COUNTIF(B28:J30,"5/0")+4*COUNTIF(B28:J30,"4/1")+3*COUNTIF(B28:J30,"3/2")+5*COUNTIF(B28:J30,"5/-")+2*COUNTIF(B28:J30,"2/3")+1*COUNTIF(B28:J30,"1/4")+0*COUNTIF(B28:J30,"0/5")</f>
        <v>0</v>
      </c>
      <c r="N28" s="119">
        <f>0*COUNTIF(B28:J30,"5/0")+1*COUNTIF(B28:J30,"4/1")+2*COUNTIF(B28:J30,"3/2")+3*COUNTIF(B28:J30,"2/3")+4*COUNTIF(B28:J30,"1/4")+5*COUNTIF(B28:J30,"0/5")+5*COUNTIF(B28:J30,"-/5")</f>
        <v>5</v>
      </c>
      <c r="O28" s="133">
        <f>RANK(K28,K$4:K$30)</f>
        <v>8</v>
      </c>
      <c r="P28" s="10"/>
    </row>
    <row r="29" spans="1:20" ht="14.5" customHeight="1">
      <c r="A29" s="99"/>
      <c r="B29" s="105"/>
      <c r="C29" s="105"/>
      <c r="D29" s="105"/>
      <c r="E29" s="105"/>
      <c r="F29" s="105"/>
      <c r="G29" s="105"/>
      <c r="H29" s="105"/>
      <c r="I29" s="105"/>
      <c r="J29" s="102"/>
      <c r="K29" s="128"/>
      <c r="L29" s="131"/>
      <c r="M29" s="117"/>
      <c r="N29" s="120"/>
      <c r="O29" s="134"/>
      <c r="P29" s="2"/>
    </row>
    <row r="30" spans="1:20" ht="13.75" customHeight="1">
      <c r="A30" s="100"/>
      <c r="B30" s="106"/>
      <c r="C30" s="106"/>
      <c r="D30" s="106"/>
      <c r="E30" s="106"/>
      <c r="F30" s="106"/>
      <c r="G30" s="106"/>
      <c r="H30" s="106"/>
      <c r="I30" s="106"/>
      <c r="J30" s="103"/>
      <c r="K30" s="129"/>
      <c r="L30" s="132"/>
      <c r="M30" s="118"/>
      <c r="N30" s="121"/>
      <c r="O30" s="29">
        <f>IFERROR(K28/SUM(M28:N30),0)</f>
        <v>0.2</v>
      </c>
      <c r="P30" s="10"/>
    </row>
    <row r="31" spans="1:20">
      <c r="F31" s="4"/>
      <c r="G31" s="4"/>
      <c r="H31" s="4"/>
      <c r="I31" s="4"/>
      <c r="J31" s="4"/>
      <c r="K31" s="4"/>
      <c r="L31" s="4"/>
      <c r="M31" s="4"/>
      <c r="N31" s="4"/>
      <c r="O31" s="4"/>
      <c r="P31" s="4"/>
    </row>
    <row r="32" spans="1:20">
      <c r="C32" s="1"/>
      <c r="D32" s="1"/>
      <c r="E32" s="4"/>
      <c r="F32" s="4"/>
      <c r="G32" s="4"/>
      <c r="H32" s="4"/>
      <c r="I32" s="4"/>
      <c r="J32" s="4"/>
      <c r="K32" s="4"/>
      <c r="L32" s="4"/>
      <c r="M32" s="4"/>
      <c r="N32" s="4"/>
      <c r="O32" s="4"/>
      <c r="P32" s="4"/>
    </row>
    <row r="33" spans="6:16">
      <c r="F33" s="4"/>
      <c r="G33" s="4"/>
      <c r="H33" s="4"/>
      <c r="I33" s="4"/>
      <c r="J33" s="4"/>
      <c r="K33" s="4"/>
      <c r="L33" s="4"/>
      <c r="M33" s="4"/>
      <c r="N33" s="4"/>
      <c r="O33" s="4"/>
      <c r="P33" s="4"/>
    </row>
    <row r="34" spans="6:16">
      <c r="F34" s="4"/>
      <c r="G34" s="4"/>
      <c r="H34" s="4"/>
      <c r="I34" s="4"/>
      <c r="J34" s="4"/>
      <c r="K34" s="4"/>
      <c r="L34" s="4"/>
      <c r="M34" s="4"/>
      <c r="N34" s="4"/>
      <c r="O34" s="4"/>
      <c r="P34" s="4"/>
    </row>
    <row r="35" spans="6:16">
      <c r="P35" s="10"/>
    </row>
    <row r="36" spans="6:16">
      <c r="P36" s="10"/>
    </row>
    <row r="37" spans="6:16">
      <c r="P37" s="10"/>
    </row>
    <row r="38" spans="6:16">
      <c r="P38" s="10"/>
    </row>
    <row r="39" spans="6:16">
      <c r="P39" s="10"/>
    </row>
    <row r="40" spans="6:16">
      <c r="P40" s="10"/>
    </row>
  </sheetData>
  <mergeCells count="149">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 ref="E22:E24"/>
    <mergeCell ref="F22:F24"/>
    <mergeCell ref="A28:A30"/>
    <mergeCell ref="B28:B30"/>
    <mergeCell ref="C28:C30"/>
    <mergeCell ref="D28:D30"/>
    <mergeCell ref="E28:E30"/>
    <mergeCell ref="F28:F30"/>
    <mergeCell ref="G28:G30"/>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A7:A9"/>
    <mergeCell ref="B7:B9"/>
    <mergeCell ref="C7:C9"/>
    <mergeCell ref="D7:D9"/>
    <mergeCell ref="E7:E9"/>
    <mergeCell ref="F7:F9"/>
    <mergeCell ref="G7:G9"/>
    <mergeCell ref="H7:H9"/>
    <mergeCell ref="I7:I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s>
  <conditionalFormatting sqref="A4:A30">
    <cfRule type="cellIs" dxfId="53" priority="4" stopIfTrue="1" operator="equal">
      <formula>0</formula>
    </cfRule>
  </conditionalFormatting>
  <conditionalFormatting sqref="B4:J30">
    <cfRule type="cellIs" priority="2" operator="equal">
      <formula>""</formula>
    </cfRule>
    <cfRule type="expression" dxfId="52" priority="3" stopIfTrue="1">
      <formula>OFFSET($A$2,(COLUMN()-1)*3-1,(ROW()+2)/3-1,1,1)&lt;&gt;CONCATENATE(RIGHT(B4,1),MID(B4,2,1),LEFT(B4,1))</formula>
    </cfRule>
  </conditionalFormatting>
  <conditionalFormatting sqref="O7 O10 O13 O16 O19 O22 O25 O4 O28">
    <cfRule type="iconSet" priority="1">
      <iconSet iconSet="3Arrows" reverse="1">
        <cfvo type="percent" val="0"/>
        <cfvo type="num" val="2" gte="0"/>
        <cfvo type="num" val="MIN(($A$3-2),(MAX($O$4:$O$30)))"/>
      </iconSet>
    </cfRule>
  </conditionalFormatting>
  <dataValidations count="1">
    <dataValidation type="list" allowBlank="1" showInputMessage="1" showErrorMessage="1" sqref="B4:J30" xr:uid="{00000000-0002-0000-07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98" orientation="landscape" r:id="rId1"/>
  <headerFooter>
    <oddHeader>&amp;C&amp;A</oddHeader>
    <oddFooter>&amp;LPrepared by City Squash Club&amp;C&amp;F&amp;R&amp;D</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40"/>
  <sheetViews>
    <sheetView zoomScaleNormal="100" workbookViewId="0">
      <selection activeCell="Q18" sqref="Q18"/>
    </sheetView>
  </sheetViews>
  <sheetFormatPr baseColWidth="10" defaultColWidth="8.83203125" defaultRowHeight="15"/>
  <cols>
    <col min="1" max="7" width="12.33203125" customWidth="1"/>
    <col min="8" max="8" width="0.1640625" customWidth="1"/>
    <col min="9" max="10" width="12.33203125" hidden="1" customWidth="1"/>
    <col min="11" max="11" width="10.6640625" customWidth="1"/>
    <col min="12" max="14" width="8.5" customWidth="1"/>
    <col min="15" max="15" width="10.6640625" customWidth="1"/>
    <col min="16" max="16" width="18" customWidth="1"/>
    <col min="17" max="17" width="10.6640625" style="4" customWidth="1"/>
  </cols>
  <sheetData>
    <row r="1" spans="1:18" ht="15.75" customHeight="1">
      <c r="A1" s="21"/>
      <c r="B1" s="98">
        <f t="shared" ref="B1:J1" ca="1" si="0">VLOOKUP(CONCATENATE(LEFT($A$2,1),COLUMN()-1),nevezettek,3,FALSE)</f>
        <v>0</v>
      </c>
      <c r="C1" s="98">
        <f t="shared" ca="1" si="0"/>
        <v>0</v>
      </c>
      <c r="D1" s="98">
        <f t="shared" ca="1" si="0"/>
        <v>0</v>
      </c>
      <c r="E1" s="98">
        <f t="shared" ca="1" si="0"/>
        <v>0</v>
      </c>
      <c r="F1" s="98">
        <f t="shared" ca="1" si="0"/>
        <v>0</v>
      </c>
      <c r="G1" s="98">
        <f t="shared" ca="1" si="0"/>
        <v>0</v>
      </c>
      <c r="H1" s="98">
        <f t="shared" ca="1" si="0"/>
        <v>0</v>
      </c>
      <c r="I1" s="98">
        <f t="shared" ca="1" si="0"/>
        <v>0</v>
      </c>
      <c r="J1" s="107" t="e">
        <f t="shared" ca="1" si="0"/>
        <v>#N/A</v>
      </c>
      <c r="K1" s="110" t="s">
        <v>31</v>
      </c>
      <c r="L1" s="113" t="s">
        <v>59</v>
      </c>
      <c r="M1" s="89" t="s">
        <v>58</v>
      </c>
      <c r="N1" s="92" t="s">
        <v>65</v>
      </c>
      <c r="O1" s="95" t="s">
        <v>167</v>
      </c>
      <c r="P1" s="4"/>
    </row>
    <row r="2" spans="1:18">
      <c r="A2" s="22" t="str">
        <f ca="1">RIGHT(CELL("filename",A1),6)</f>
        <v>F liga</v>
      </c>
      <c r="B2" s="99"/>
      <c r="C2" s="99"/>
      <c r="D2" s="99"/>
      <c r="E2" s="99"/>
      <c r="F2" s="99"/>
      <c r="G2" s="99"/>
      <c r="H2" s="99"/>
      <c r="I2" s="99"/>
      <c r="J2" s="108"/>
      <c r="K2" s="111"/>
      <c r="L2" s="114"/>
      <c r="M2" s="90"/>
      <c r="N2" s="93"/>
      <c r="O2" s="96"/>
      <c r="P2" s="4"/>
    </row>
    <row r="3" spans="1:18">
      <c r="A3" s="23">
        <f ca="1">COUNTIF(Ligabeosztas!D:D,LEFT(A2,1))</f>
        <v>8</v>
      </c>
      <c r="B3" s="100"/>
      <c r="C3" s="100"/>
      <c r="D3" s="100"/>
      <c r="E3" s="100"/>
      <c r="F3" s="100"/>
      <c r="G3" s="100"/>
      <c r="H3" s="100"/>
      <c r="I3" s="100"/>
      <c r="J3" s="109"/>
      <c r="K3" s="112"/>
      <c r="L3" s="115"/>
      <c r="M3" s="91"/>
      <c r="N3" s="94"/>
      <c r="O3" s="97"/>
      <c r="P3" s="4"/>
      <c r="Q3" s="24"/>
    </row>
    <row r="4" spans="1:18" ht="15" customHeight="1">
      <c r="A4" s="98">
        <f ca="1">B1</f>
        <v>0</v>
      </c>
      <c r="B4" s="101"/>
      <c r="C4" s="104"/>
      <c r="D4" s="104"/>
      <c r="E4" s="104"/>
      <c r="F4" s="104"/>
      <c r="G4" s="104"/>
      <c r="H4" s="104"/>
      <c r="I4" s="104"/>
      <c r="J4" s="124"/>
      <c r="K4" s="127">
        <f>5*(COUNTIF(B4:J6,"5/0")+COUNTIF(B4:J6,"4/1")+COUNTIF(B4:J6,"3/2")+COUNTIF(B4:J6,"5/-"))+3*COUNTIF(B4:J6,"2/3")+2*COUNTIF(B4:J6,"1/4")+COUNTIF(B4:J6,"0/5")+0.01*L4+0.0001*(M4)</f>
        <v>0</v>
      </c>
      <c r="L4" s="130">
        <f>1*COUNTIF(B4:J6,"5/0")+1*COUNTIF(B4:J6,"4/1")+1*COUNTIF(B4:J6,"3/2")+1*COUNTIF(B4:J6,"5/-")+0*COUNTIF(B4:J6,"2/3")+0*COUNTIF(B4:J6,"1/4")+0*COUNTIF(B4:J6,"0/5")</f>
        <v>0</v>
      </c>
      <c r="M4" s="116">
        <f>5*COUNTIF(B4:J6,"5/0")+4*COUNTIF(B4:J6,"4/1")+3*COUNTIF(B4:J6,"3/2")+5*COUNTIF(B4:J6,"5/-")+2*COUNTIF(B4:J6,"2/3")+1*COUNTIF(B4:J6,"1/4")+0*COUNTIF(B4:J6,"0/5")</f>
        <v>0</v>
      </c>
      <c r="N4" s="119">
        <f>0*COUNTIF(B4:J6,"5/0")+1*COUNTIF(B4:J6,"4/1")+2*COUNTIF(B4:J6,"3/2")+3*COUNTIF(B4:J6,"2/3")+4*COUNTIF(B4:J6,"1/4")+5*COUNTIF(B4:J6,"0/5")+5*COUNTIF(B4:J6,"-/5")</f>
        <v>0</v>
      </c>
      <c r="O4" s="133">
        <f>RANK(K4,K$4:K$30)</f>
        <v>1</v>
      </c>
      <c r="P4" s="9"/>
    </row>
    <row r="5" spans="1:18">
      <c r="A5" s="99"/>
      <c r="B5" s="102"/>
      <c r="C5" s="105"/>
      <c r="D5" s="105"/>
      <c r="E5" s="105"/>
      <c r="F5" s="105"/>
      <c r="G5" s="105"/>
      <c r="H5" s="105"/>
      <c r="I5" s="105"/>
      <c r="J5" s="125"/>
      <c r="K5" s="128"/>
      <c r="L5" s="131"/>
      <c r="M5" s="117"/>
      <c r="N5" s="120"/>
      <c r="O5" s="134"/>
      <c r="P5" s="4"/>
    </row>
    <row r="6" spans="1:18">
      <c r="A6" s="100"/>
      <c r="B6" s="103"/>
      <c r="C6" s="106"/>
      <c r="D6" s="106"/>
      <c r="E6" s="106"/>
      <c r="F6" s="106"/>
      <c r="G6" s="106"/>
      <c r="H6" s="106"/>
      <c r="I6" s="106"/>
      <c r="J6" s="126"/>
      <c r="K6" s="129"/>
      <c r="L6" s="132"/>
      <c r="M6" s="118"/>
      <c r="N6" s="121"/>
      <c r="O6" s="29">
        <f>IFERROR(K4/SUM(M4:N6),0)</f>
        <v>0</v>
      </c>
      <c r="P6" s="10"/>
    </row>
    <row r="7" spans="1:18">
      <c r="A7" s="98">
        <f ca="1">C1</f>
        <v>0</v>
      </c>
      <c r="B7" s="104"/>
      <c r="C7" s="101"/>
      <c r="D7" s="104"/>
      <c r="E7" s="104"/>
      <c r="F7" s="104"/>
      <c r="G7" s="104"/>
      <c r="H7" s="104"/>
      <c r="I7" s="104"/>
      <c r="J7" s="124"/>
      <c r="K7" s="127">
        <f t="shared" ref="K7" si="1">5*(COUNTIF(B7:J9,"5/0")+COUNTIF(B7:J9,"4/1")+COUNTIF(B7:J9,"3/2")+COUNTIF(B7:J9,"5/-"))+3*COUNTIF(B7:J9,"2/3")+2*COUNTIF(B7:J9,"1/4")+COUNTIF(B7:J9,"0/5")+0.01*L7+0.0001*(M7)</f>
        <v>0</v>
      </c>
      <c r="L7" s="130">
        <f>1*COUNTIF(B7:J9,"5/0")+1*COUNTIF(B7:J9,"4/1")+1*COUNTIF(B7:J9,"3/2")+1*COUNTIF(B7:J9,"5/-")+0*COUNTIF(B7:J9,"2/3")+0*COUNTIF(B7:J9,"1/4")+0*COUNTIF(B7:J9,"0/5")</f>
        <v>0</v>
      </c>
      <c r="M7" s="116">
        <f>5*COUNTIF(B7:J9,"5/0")+4*COUNTIF(B7:J9,"4/1")+3*COUNTIF(B7:J9,"3/2")+5*COUNTIF(B7:J9,"5/-")+2*COUNTIF(B7:J9,"2/3")+1*COUNTIF(B7:J9,"1/4")+0*COUNTIF(B7:J9,"0/5")</f>
        <v>0</v>
      </c>
      <c r="N7" s="119">
        <f>0*COUNTIF(B7:J9,"5/0")+1*COUNTIF(B7:J9,"4/1")+2*COUNTIF(B7:J9,"3/2")+3*COUNTIF(B7:J9,"2/3")+4*COUNTIF(B7:J9,"1/4")+5*COUNTIF(B7:J9,"0/5")+5*COUNTIF(B7:J9,"-/5")</f>
        <v>0</v>
      </c>
      <c r="O7" s="133">
        <f>RANK(K7,K$4:K$30)</f>
        <v>1</v>
      </c>
      <c r="P7" s="10"/>
      <c r="R7" s="5"/>
    </row>
    <row r="8" spans="1:18">
      <c r="A8" s="99"/>
      <c r="B8" s="105"/>
      <c r="C8" s="102"/>
      <c r="D8" s="105"/>
      <c r="E8" s="105"/>
      <c r="F8" s="105"/>
      <c r="G8" s="105"/>
      <c r="H8" s="105"/>
      <c r="I8" s="105"/>
      <c r="J8" s="125"/>
      <c r="K8" s="128"/>
      <c r="L8" s="131"/>
      <c r="M8" s="117"/>
      <c r="N8" s="120"/>
      <c r="O8" s="134"/>
      <c r="P8" s="2"/>
      <c r="R8" s="5"/>
    </row>
    <row r="9" spans="1:18">
      <c r="A9" s="100"/>
      <c r="B9" s="106"/>
      <c r="C9" s="103"/>
      <c r="D9" s="106"/>
      <c r="E9" s="106"/>
      <c r="F9" s="106"/>
      <c r="G9" s="106"/>
      <c r="H9" s="106"/>
      <c r="I9" s="106"/>
      <c r="J9" s="126"/>
      <c r="K9" s="129"/>
      <c r="L9" s="132"/>
      <c r="M9" s="118"/>
      <c r="N9" s="121"/>
      <c r="O9" s="29">
        <f>IFERROR(K7/SUM(M7:N9),0)</f>
        <v>0</v>
      </c>
      <c r="P9" s="10"/>
      <c r="R9" s="8"/>
    </row>
    <row r="10" spans="1:18">
      <c r="A10" s="98">
        <f ca="1">D1</f>
        <v>0</v>
      </c>
      <c r="B10" s="104"/>
      <c r="C10" s="104"/>
      <c r="D10" s="101"/>
      <c r="E10" s="104"/>
      <c r="F10" s="104"/>
      <c r="G10" s="104"/>
      <c r="H10" s="104"/>
      <c r="I10" s="104"/>
      <c r="J10" s="124"/>
      <c r="K10" s="127">
        <f t="shared" ref="K10" si="2">5*(COUNTIF(B10:J12,"5/0")+COUNTIF(B10:J12,"4/1")+COUNTIF(B10:J12,"3/2")+COUNTIF(B10:J12,"5/-"))+3*COUNTIF(B10:J12,"2/3")+2*COUNTIF(B10:J12,"1/4")+COUNTIF(B10:J12,"0/5")+0.01*L10+0.0001*(M10)</f>
        <v>0</v>
      </c>
      <c r="L10" s="130">
        <f>1*COUNTIF(B10:J12,"5/0")+1*COUNTIF(B10:J12,"4/1")+1*COUNTIF(B10:J12,"3/2")+1*COUNTIF(B10:J12,"5/-")+0*COUNTIF(B10:J12,"2/3")+0*COUNTIF(B10:J12,"1/4")+0*COUNTIF(B10:J12,"0/5")</f>
        <v>0</v>
      </c>
      <c r="M10" s="116">
        <f>5*COUNTIF(B10:J12,"5/0")+4*COUNTIF(B10:J12,"4/1")+3*COUNTIF(B10:J12,"3/2")+5*COUNTIF(B10:J12,"5/-")+2*COUNTIF(B10:J12,"2/3")+1*COUNTIF(B10:J12,"1/4")+0*COUNTIF(B10:J12,"0/5")</f>
        <v>0</v>
      </c>
      <c r="N10" s="119">
        <f>0*COUNTIF(B10:J12,"5/0")+1*COUNTIF(B10:J12,"4/1")+2*COUNTIF(B10:J12,"3/2")+3*COUNTIF(B10:J12,"2/3")+4*COUNTIF(B10:J12,"1/4")+5*COUNTIF(B10:J12,"0/5")+5*COUNTIF(B10:J12,"-/5")</f>
        <v>0</v>
      </c>
      <c r="O10" s="133">
        <f>RANK(K10,K$4:K$30)</f>
        <v>1</v>
      </c>
      <c r="P10" s="10"/>
    </row>
    <row r="11" spans="1:18">
      <c r="A11" s="99"/>
      <c r="B11" s="105"/>
      <c r="C11" s="105"/>
      <c r="D11" s="102"/>
      <c r="E11" s="105"/>
      <c r="F11" s="105"/>
      <c r="G11" s="105"/>
      <c r="H11" s="105"/>
      <c r="I11" s="105"/>
      <c r="J11" s="125"/>
      <c r="K11" s="128"/>
      <c r="L11" s="131"/>
      <c r="M11" s="117"/>
      <c r="N11" s="120"/>
      <c r="O11" s="134"/>
      <c r="P11" s="1"/>
      <c r="R11" s="6"/>
    </row>
    <row r="12" spans="1:18">
      <c r="A12" s="100"/>
      <c r="B12" s="106"/>
      <c r="C12" s="106"/>
      <c r="D12" s="103"/>
      <c r="E12" s="106"/>
      <c r="F12" s="106"/>
      <c r="G12" s="106"/>
      <c r="H12" s="106"/>
      <c r="I12" s="106"/>
      <c r="J12" s="126"/>
      <c r="K12" s="129"/>
      <c r="L12" s="132"/>
      <c r="M12" s="118"/>
      <c r="N12" s="121"/>
      <c r="O12" s="29">
        <f>IFERROR(K10/SUM(M10:N12),0)</f>
        <v>0</v>
      </c>
      <c r="P12" s="10"/>
    </row>
    <row r="13" spans="1:18">
      <c r="A13" s="98">
        <f ca="1">E1</f>
        <v>0</v>
      </c>
      <c r="B13" s="104"/>
      <c r="C13" s="104"/>
      <c r="D13" s="104"/>
      <c r="E13" s="101"/>
      <c r="F13" s="104"/>
      <c r="G13" s="104"/>
      <c r="H13" s="104"/>
      <c r="I13" s="104"/>
      <c r="J13" s="124"/>
      <c r="K13" s="127">
        <f t="shared" ref="K13" si="3">5*(COUNTIF(B13:J15,"5/0")+COUNTIF(B13:J15,"4/1")+COUNTIF(B13:J15,"3/2")+COUNTIF(B13:J15,"5/-"))+3*COUNTIF(B13:J15,"2/3")+2*COUNTIF(B13:J15,"1/4")+COUNTIF(B13:J15,"0/5")+0.01*L13+0.0001*(M13)</f>
        <v>0</v>
      </c>
      <c r="L13" s="130">
        <f>1*COUNTIF(B13:J15,"5/0")+1*COUNTIF(B13:J15,"4/1")+1*COUNTIF(B13:J15,"3/2")+1*COUNTIF(B13:J15,"5/-")+0*COUNTIF(B13:J15,"2/3")+0*COUNTIF(B13:J15,"1/4")+0*COUNTIF(B13:J15,"0/5")</f>
        <v>0</v>
      </c>
      <c r="M13" s="116">
        <f>5*COUNTIF(B13:J15,"5/0")+4*COUNTIF(B13:J15,"4/1")+3*COUNTIF(B13:J15,"3/2")+5*COUNTIF(B13:J15,"5/-")+2*COUNTIF(B13:J15,"2/3")+1*COUNTIF(B13:J15,"1/4")+0*COUNTIF(B13:J15,"0/5")</f>
        <v>0</v>
      </c>
      <c r="N13" s="119">
        <f>0*COUNTIF(B13:J15,"5/0")+1*COUNTIF(B13:J15,"4/1")+2*COUNTIF(B13:J15,"3/2")+3*COUNTIF(B13:J15,"2/3")+4*COUNTIF(B13:J15,"1/4")+5*COUNTIF(B13:J15,"0/5")+5*COUNTIF(B13:J15,"-/5")</f>
        <v>0</v>
      </c>
      <c r="O13" s="133">
        <f>RANK(K13,K$4:K$30)</f>
        <v>1</v>
      </c>
      <c r="P13" s="10"/>
    </row>
    <row r="14" spans="1:18">
      <c r="A14" s="99"/>
      <c r="B14" s="105"/>
      <c r="C14" s="105"/>
      <c r="D14" s="105"/>
      <c r="E14" s="102"/>
      <c r="F14" s="105"/>
      <c r="G14" s="105"/>
      <c r="H14" s="105"/>
      <c r="I14" s="105"/>
      <c r="J14" s="125"/>
      <c r="K14" s="128"/>
      <c r="L14" s="131"/>
      <c r="M14" s="117"/>
      <c r="N14" s="120"/>
      <c r="O14" s="134"/>
      <c r="P14" s="4"/>
      <c r="R14" s="6"/>
    </row>
    <row r="15" spans="1:18">
      <c r="A15" s="100"/>
      <c r="B15" s="106"/>
      <c r="C15" s="106"/>
      <c r="D15" s="106"/>
      <c r="E15" s="103"/>
      <c r="F15" s="106"/>
      <c r="G15" s="106"/>
      <c r="H15" s="106"/>
      <c r="I15" s="106"/>
      <c r="J15" s="126"/>
      <c r="K15" s="129"/>
      <c r="L15" s="132"/>
      <c r="M15" s="118"/>
      <c r="N15" s="121"/>
      <c r="O15" s="29">
        <f>IFERROR(K13/SUM(M13:N15),0)</f>
        <v>0</v>
      </c>
      <c r="P15" s="10"/>
    </row>
    <row r="16" spans="1:18">
      <c r="A16" s="98">
        <f ca="1">F1</f>
        <v>0</v>
      </c>
      <c r="B16" s="104"/>
      <c r="C16" s="104"/>
      <c r="D16" s="104"/>
      <c r="E16" s="104"/>
      <c r="F16" s="101"/>
      <c r="G16" s="104"/>
      <c r="H16" s="104"/>
      <c r="I16" s="104"/>
      <c r="J16" s="124"/>
      <c r="K16" s="127">
        <f t="shared" ref="K16" si="4">5*(COUNTIF(B16:J18,"5/0")+COUNTIF(B16:J18,"4/1")+COUNTIF(B16:J18,"3/2")+COUNTIF(B16:J18,"5/-"))+3*COUNTIF(B16:J18,"2/3")+2*COUNTIF(B16:J18,"1/4")+COUNTIF(B16:J18,"0/5")+0.01*L16+0.0001*(M16)</f>
        <v>0</v>
      </c>
      <c r="L16" s="130">
        <f>1*COUNTIF(B16:J18,"5/0")+1*COUNTIF(B16:J18,"4/1")+1*COUNTIF(B16:J18,"3/2")+1*COUNTIF(B16:J18,"5/-")+0*COUNTIF(B16:J18,"2/3")+0*COUNTIF(B16:J18,"1/4")+0*COUNTIF(B16:J18,"0/5")</f>
        <v>0</v>
      </c>
      <c r="M16" s="116">
        <f>5*COUNTIF(B16:J18,"5/0")+4*COUNTIF(B16:J18,"4/1")+3*COUNTIF(B16:J18,"3/2")+5*COUNTIF(B16:J18,"5/-")+2*COUNTIF(B16:J18,"2/3")+1*COUNTIF(B16:J18,"1/4")+0*COUNTIF(B16:J18,"0/5")</f>
        <v>0</v>
      </c>
      <c r="N16" s="119">
        <f>0*COUNTIF(B16:J18,"5/0")+1*COUNTIF(B16:J18,"4/1")+2*COUNTIF(B16:J18,"3/2")+3*COUNTIF(B16:J18,"2/3")+4*COUNTIF(B16:J18,"1/4")+5*COUNTIF(B16:J18,"0/5")+5*COUNTIF(B16:J18,"-/5")</f>
        <v>0</v>
      </c>
      <c r="O16" s="133">
        <f>RANK(K16,K$4:K$30)</f>
        <v>1</v>
      </c>
      <c r="P16" s="10"/>
    </row>
    <row r="17" spans="1:20">
      <c r="A17" s="99"/>
      <c r="B17" s="105"/>
      <c r="C17" s="105"/>
      <c r="D17" s="105"/>
      <c r="E17" s="105"/>
      <c r="F17" s="102"/>
      <c r="G17" s="105"/>
      <c r="H17" s="105"/>
      <c r="I17" s="105"/>
      <c r="J17" s="125"/>
      <c r="K17" s="128"/>
      <c r="L17" s="131"/>
      <c r="M17" s="117"/>
      <c r="N17" s="120"/>
      <c r="O17" s="134"/>
      <c r="P17" s="4"/>
    </row>
    <row r="18" spans="1:20">
      <c r="A18" s="100"/>
      <c r="B18" s="106"/>
      <c r="C18" s="106"/>
      <c r="D18" s="106"/>
      <c r="E18" s="106"/>
      <c r="F18" s="103"/>
      <c r="G18" s="106"/>
      <c r="H18" s="106"/>
      <c r="I18" s="106"/>
      <c r="J18" s="126"/>
      <c r="K18" s="129"/>
      <c r="L18" s="132"/>
      <c r="M18" s="118"/>
      <c r="N18" s="121"/>
      <c r="O18" s="29">
        <f>IFERROR(K16/SUM(M16:N18),0)</f>
        <v>0</v>
      </c>
      <c r="P18" s="10"/>
    </row>
    <row r="19" spans="1:20">
      <c r="A19" s="98">
        <f ca="1">G1</f>
        <v>0</v>
      </c>
      <c r="B19" s="104"/>
      <c r="C19" s="104"/>
      <c r="D19" s="104"/>
      <c r="E19" s="104"/>
      <c r="F19" s="104"/>
      <c r="G19" s="101"/>
      <c r="H19" s="104"/>
      <c r="I19" s="104"/>
      <c r="J19" s="124"/>
      <c r="K19" s="127">
        <f t="shared" ref="K19" si="5">5*(COUNTIF(B19:J21,"5/0")+COUNTIF(B19:J21,"4/1")+COUNTIF(B19:J21,"3/2")+COUNTIF(B19:J21,"5/-"))+3*COUNTIF(B19:J21,"2/3")+2*COUNTIF(B19:J21,"1/4")+COUNTIF(B19:J21,"0/5")+0.01*L19+0.0001*(M19)</f>
        <v>0</v>
      </c>
      <c r="L19" s="130">
        <f>1*COUNTIF(B19:J21,"5/0")+1*COUNTIF(B19:J21,"4/1")+1*COUNTIF(B19:J21,"3/2")+1*COUNTIF(B19:J21,"5/-")+0*COUNTIF(B19:J21,"2/3")+0*COUNTIF(B19:J21,"1/4")+0*COUNTIF(B19:J21,"0/5")</f>
        <v>0</v>
      </c>
      <c r="M19" s="116">
        <f>5*COUNTIF(B19:J21,"5/0")+4*COUNTIF(B19:J21,"4/1")+3*COUNTIF(B19:J21,"3/2")+5*COUNTIF(B19:J21,"5/-")+2*COUNTIF(B19:J21,"2/3")+1*COUNTIF(B19:J21,"1/4")+0*COUNTIF(B19:J21,"0/5")</f>
        <v>0</v>
      </c>
      <c r="N19" s="119">
        <f>0*COUNTIF(B19:J21,"5/0")+1*COUNTIF(B19:J21,"4/1")+2*COUNTIF(B19:J21,"3/2")+3*COUNTIF(B19:J21,"2/3")+4*COUNTIF(B19:J21,"1/4")+5*COUNTIF(B19:J21,"0/5")+5*COUNTIF(B19:J21,"-/5")</f>
        <v>0</v>
      </c>
      <c r="O19" s="133">
        <f>RANK(K19,K$4:K$30)</f>
        <v>1</v>
      </c>
      <c r="P19" s="10"/>
      <c r="R19" s="5"/>
    </row>
    <row r="20" spans="1:20">
      <c r="A20" s="99"/>
      <c r="B20" s="105"/>
      <c r="C20" s="105"/>
      <c r="D20" s="105"/>
      <c r="E20" s="105"/>
      <c r="F20" s="105"/>
      <c r="G20" s="102"/>
      <c r="H20" s="105"/>
      <c r="I20" s="105"/>
      <c r="J20" s="125"/>
      <c r="K20" s="128"/>
      <c r="L20" s="131"/>
      <c r="M20" s="117"/>
      <c r="N20" s="120"/>
      <c r="O20" s="134"/>
      <c r="P20" s="1"/>
      <c r="R20" s="5"/>
    </row>
    <row r="21" spans="1:20">
      <c r="A21" s="100"/>
      <c r="B21" s="106"/>
      <c r="C21" s="106"/>
      <c r="D21" s="106"/>
      <c r="E21" s="106"/>
      <c r="F21" s="106"/>
      <c r="G21" s="103"/>
      <c r="H21" s="106"/>
      <c r="I21" s="106"/>
      <c r="J21" s="126"/>
      <c r="K21" s="129"/>
      <c r="L21" s="132"/>
      <c r="M21" s="118"/>
      <c r="N21" s="121"/>
      <c r="O21" s="29">
        <f>IFERROR(K19/SUM(M19:N21),0)</f>
        <v>0</v>
      </c>
      <c r="P21" s="10"/>
    </row>
    <row r="22" spans="1:20" ht="0.5" customHeight="1">
      <c r="A22" s="98">
        <f ca="1">H1</f>
        <v>0</v>
      </c>
      <c r="B22" s="104"/>
      <c r="C22" s="104"/>
      <c r="D22" s="104"/>
      <c r="E22" s="104"/>
      <c r="F22" s="104"/>
      <c r="G22" s="104"/>
      <c r="H22" s="101"/>
      <c r="I22" s="104"/>
      <c r="J22" s="124"/>
      <c r="K22" s="127">
        <f t="shared" ref="K22" si="6">5*(COUNTIF(B22:J24,"5/0")+COUNTIF(B22:J24,"4/1")+COUNTIF(B22:J24,"3/2")+COUNTIF(B22:J24,"5/-"))+3*COUNTIF(B22:J24,"2/3")+2*COUNTIF(B22:J24,"1/4")+COUNTIF(B22:J24,"0/5")+0.01*L22+0.0001*(M22)</f>
        <v>0</v>
      </c>
      <c r="L22" s="130">
        <f>1*COUNTIF(B22:J24,"5/0")+1*COUNTIF(B22:J24,"4/1")+1*COUNTIF(B22:J24,"3/2")+1*COUNTIF(B22:J24,"5/-")+0*COUNTIF(B22:J24,"2/3")+0*COUNTIF(B22:J24,"1/4")+0*COUNTIF(B22:J24,"0/5")</f>
        <v>0</v>
      </c>
      <c r="M22" s="116">
        <f>5*COUNTIF(B22:J24,"5/0")+4*COUNTIF(B22:J24,"4/1")+3*COUNTIF(B22:J24,"3/2")+5*COUNTIF(B22:J24,"5/-")+2*COUNTIF(B22:J24,"2/3")+1*COUNTIF(B22:J24,"1/4")+0*COUNTIF(B22:J24,"0/5")</f>
        <v>0</v>
      </c>
      <c r="N22" s="119">
        <f>0*COUNTIF(B22:J24,"5/0")+1*COUNTIF(B22:J24,"4/1")+2*COUNTIF(B22:J24,"3/2")+3*COUNTIF(B22:J24,"2/3")+4*COUNTIF(B22:J24,"1/4")+5*COUNTIF(B22:J24,"0/5")+5*COUNTIF(B22:J24,"-/5")</f>
        <v>0</v>
      </c>
      <c r="O22" s="133">
        <f>RANK(K22,K$4:K$30)</f>
        <v>1</v>
      </c>
      <c r="P22" s="10"/>
    </row>
    <row r="23" spans="1:20" hidden="1">
      <c r="A23" s="99"/>
      <c r="B23" s="105"/>
      <c r="C23" s="105"/>
      <c r="D23" s="105"/>
      <c r="E23" s="105"/>
      <c r="F23" s="105"/>
      <c r="G23" s="105"/>
      <c r="H23" s="102"/>
      <c r="I23" s="105"/>
      <c r="J23" s="125"/>
      <c r="K23" s="128"/>
      <c r="L23" s="131"/>
      <c r="M23" s="117"/>
      <c r="N23" s="120"/>
      <c r="O23" s="134"/>
      <c r="P23" s="1"/>
      <c r="R23" s="7"/>
      <c r="T23" s="3"/>
    </row>
    <row r="24" spans="1:20" hidden="1">
      <c r="A24" s="100"/>
      <c r="B24" s="106"/>
      <c r="C24" s="106"/>
      <c r="D24" s="106"/>
      <c r="E24" s="106"/>
      <c r="F24" s="106"/>
      <c r="G24" s="106"/>
      <c r="H24" s="103"/>
      <c r="I24" s="106"/>
      <c r="J24" s="126"/>
      <c r="K24" s="129"/>
      <c r="L24" s="132"/>
      <c r="M24" s="118"/>
      <c r="N24" s="121"/>
      <c r="O24" s="29">
        <f>IFERROR(K22/SUM(M22:N24),0)</f>
        <v>0</v>
      </c>
      <c r="P24" s="10"/>
    </row>
    <row r="25" spans="1:20" hidden="1">
      <c r="A25" s="98">
        <f ca="1">I1</f>
        <v>0</v>
      </c>
      <c r="B25" s="104"/>
      <c r="C25" s="104"/>
      <c r="D25" s="104"/>
      <c r="E25" s="104"/>
      <c r="F25" s="104"/>
      <c r="G25" s="104"/>
      <c r="H25" s="104"/>
      <c r="I25" s="101"/>
      <c r="J25" s="124"/>
      <c r="K25" s="127">
        <f t="shared" ref="K25" si="7">5*(COUNTIF(B25:J27,"5/0")+COUNTIF(B25:J27,"4/1")+COUNTIF(B25:J27,"3/2")+COUNTIF(B25:J27,"5/-"))+3*COUNTIF(B25:J27,"2/3")+2*COUNTIF(B25:J27,"1/4")+COUNTIF(B25:J27,"0/5")+0.01*L25+0.0001*(M25)</f>
        <v>0</v>
      </c>
      <c r="L25" s="130">
        <f>1*COUNTIF(B25:J27,"5/0")+1*COUNTIF(B25:J27,"4/1")+1*COUNTIF(B25:J27,"3/2")+1*COUNTIF(B25:J27,"5/-")+0*COUNTIF(B25:J27,"2/3")+0*COUNTIF(B25:J27,"1/4")+0*COUNTIF(B25:J27,"0/5")</f>
        <v>0</v>
      </c>
      <c r="M25" s="116">
        <f>5*COUNTIF(B25:J27,"5/0")+4*COUNTIF(B25:J27,"4/1")+3*COUNTIF(B25:J27,"3/2")+5*COUNTIF(B25:J27,"5/-")+2*COUNTIF(B25:J27,"2/3")+1*COUNTIF(B25:J27,"1/4")+0*COUNTIF(B25:J27,"0/5")</f>
        <v>0</v>
      </c>
      <c r="N25" s="119">
        <f>0*COUNTIF(B25:J27,"5/0")+1*COUNTIF(B25:J27,"4/1")+2*COUNTIF(B25:J27,"3/2")+3*COUNTIF(B25:J27,"2/3")+4*COUNTIF(B25:J27,"1/4")+5*COUNTIF(B25:J27,"0/5")+5*COUNTIF(B25:J27,"-/5")</f>
        <v>0</v>
      </c>
      <c r="O25" s="133">
        <f>RANK(K25,K$4:K$30)</f>
        <v>1</v>
      </c>
      <c r="P25" s="10"/>
    </row>
    <row r="26" spans="1:20" hidden="1">
      <c r="A26" s="99"/>
      <c r="B26" s="105"/>
      <c r="C26" s="105"/>
      <c r="D26" s="105"/>
      <c r="E26" s="105"/>
      <c r="F26" s="105"/>
      <c r="G26" s="105"/>
      <c r="H26" s="105"/>
      <c r="I26" s="102"/>
      <c r="J26" s="125"/>
      <c r="K26" s="128"/>
      <c r="L26" s="131"/>
      <c r="M26" s="117"/>
      <c r="N26" s="120"/>
      <c r="O26" s="134"/>
      <c r="P26" s="2"/>
    </row>
    <row r="27" spans="1:20" hidden="1">
      <c r="A27" s="100"/>
      <c r="B27" s="106"/>
      <c r="C27" s="106"/>
      <c r="D27" s="106"/>
      <c r="E27" s="106"/>
      <c r="F27" s="106"/>
      <c r="G27" s="106"/>
      <c r="H27" s="106"/>
      <c r="I27" s="103"/>
      <c r="J27" s="126"/>
      <c r="K27" s="129"/>
      <c r="L27" s="132"/>
      <c r="M27" s="118"/>
      <c r="N27" s="121"/>
      <c r="O27" s="29">
        <f>IFERROR(K25/SUM(M25:N27),0)</f>
        <v>0</v>
      </c>
      <c r="P27" s="10"/>
    </row>
    <row r="28" spans="1:20" ht="15" hidden="1" customHeight="1">
      <c r="A28" s="98" t="e">
        <f ca="1">J1</f>
        <v>#N/A</v>
      </c>
      <c r="B28" s="104"/>
      <c r="C28" s="104"/>
      <c r="D28" s="104"/>
      <c r="E28" s="104"/>
      <c r="F28" s="104"/>
      <c r="G28" s="104"/>
      <c r="H28" s="104"/>
      <c r="I28" s="104"/>
      <c r="J28" s="101"/>
      <c r="K28" s="127">
        <f t="shared" ref="K28" si="8">5*(COUNTIF(B28:J30,"5/0")+COUNTIF(B28:J30,"4/1")+COUNTIF(B28:J30,"3/2")+COUNTIF(B28:J30,"5/-"))+3*COUNTIF(B28:J30,"2/3")+2*COUNTIF(B28:J30,"1/4")+COUNTIF(B28:J30,"0/5")+0.01*L28+0.0001*(M28)</f>
        <v>0</v>
      </c>
      <c r="L28" s="130">
        <f>1*COUNTIF(B28:J30,"5/0")+1*COUNTIF(B28:J30,"4/1")+1*COUNTIF(B28:J30,"3/2")+1*COUNTIF(B28:J30,"5/-")+0*COUNTIF(B28:J30,"2/3")+0*COUNTIF(B28:J30,"1/4")+0*COUNTIF(B28:J30,"0/5")</f>
        <v>0</v>
      </c>
      <c r="M28" s="116">
        <f>5*COUNTIF(B28:J30,"5/0")+4*COUNTIF(B28:J30,"4/1")+3*COUNTIF(B28:J30,"3/2")+5*COUNTIF(B28:J30,"5/-")+2*COUNTIF(B28:J30,"2/3")+1*COUNTIF(B28:J30,"1/4")+0*COUNTIF(B28:J30,"0/5")</f>
        <v>0</v>
      </c>
      <c r="N28" s="119">
        <f>0*COUNTIF(B28:J30,"5/0")+1*COUNTIF(B28:J30,"4/1")+2*COUNTIF(B28:J30,"3/2")+3*COUNTIF(B28:J30,"2/3")+4*COUNTIF(B28:J30,"1/4")+5*COUNTIF(B28:J30,"0/5")+5*COUNTIF(B28:J30,"-/5")</f>
        <v>0</v>
      </c>
      <c r="O28" s="133">
        <f>RANK(K28,K$4:K$30)</f>
        <v>1</v>
      </c>
      <c r="P28" s="10"/>
    </row>
    <row r="29" spans="1:20" ht="15" hidden="1" customHeight="1">
      <c r="A29" s="99"/>
      <c r="B29" s="105"/>
      <c r="C29" s="105"/>
      <c r="D29" s="105"/>
      <c r="E29" s="105"/>
      <c r="F29" s="105"/>
      <c r="G29" s="105"/>
      <c r="H29" s="105"/>
      <c r="I29" s="105"/>
      <c r="J29" s="102"/>
      <c r="K29" s="128"/>
      <c r="L29" s="131"/>
      <c r="M29" s="117"/>
      <c r="N29" s="120"/>
      <c r="O29" s="134"/>
      <c r="P29" s="2"/>
    </row>
    <row r="30" spans="1:20" ht="0.5" hidden="1" customHeight="1">
      <c r="A30" s="100"/>
      <c r="B30" s="106"/>
      <c r="C30" s="106"/>
      <c r="D30" s="106"/>
      <c r="E30" s="106"/>
      <c r="F30" s="106"/>
      <c r="G30" s="106"/>
      <c r="H30" s="106"/>
      <c r="I30" s="106"/>
      <c r="J30" s="103"/>
      <c r="K30" s="129"/>
      <c r="L30" s="132"/>
      <c r="M30" s="118"/>
      <c r="N30" s="121"/>
      <c r="O30" s="29">
        <f>IFERROR(K28/SUM(M28:N30),0)</f>
        <v>0</v>
      </c>
      <c r="P30" s="10"/>
    </row>
    <row r="31" spans="1:20">
      <c r="F31" s="4"/>
      <c r="G31" s="4"/>
      <c r="H31" s="4"/>
      <c r="I31" s="4"/>
      <c r="J31" s="4"/>
      <c r="K31" s="4"/>
      <c r="L31" s="4"/>
      <c r="M31" s="4"/>
      <c r="N31" s="4"/>
      <c r="O31" s="4"/>
      <c r="P31" s="4"/>
    </row>
    <row r="32" spans="1:20">
      <c r="C32" s="1"/>
      <c r="D32" s="1"/>
      <c r="E32" s="4"/>
      <c r="F32" s="4"/>
      <c r="G32" s="4"/>
      <c r="H32" s="4"/>
      <c r="I32" s="4"/>
      <c r="J32" s="4"/>
      <c r="K32" s="4"/>
      <c r="L32" s="4"/>
      <c r="M32" s="4"/>
      <c r="N32" s="4"/>
      <c r="O32" s="4"/>
      <c r="P32" s="4"/>
    </row>
    <row r="33" spans="6:16">
      <c r="F33" s="4"/>
      <c r="G33" s="4"/>
      <c r="H33" s="4"/>
      <c r="I33" s="4"/>
      <c r="J33" s="4"/>
      <c r="K33" s="4"/>
      <c r="L33" s="4"/>
      <c r="M33" s="4"/>
      <c r="N33" s="4"/>
      <c r="O33" s="4"/>
      <c r="P33" s="4"/>
    </row>
    <row r="34" spans="6:16">
      <c r="F34" s="4"/>
      <c r="G34" s="4"/>
      <c r="H34" s="4"/>
      <c r="I34" s="4"/>
      <c r="J34" s="4"/>
      <c r="K34" s="4"/>
      <c r="L34" s="4"/>
      <c r="M34" s="4"/>
      <c r="N34" s="4"/>
      <c r="O34" s="4"/>
      <c r="P34" s="4"/>
    </row>
    <row r="35" spans="6:16">
      <c r="P35" s="10"/>
    </row>
    <row r="36" spans="6:16">
      <c r="P36" s="10"/>
    </row>
    <row r="37" spans="6:16">
      <c r="P37" s="10"/>
    </row>
    <row r="38" spans="6:16">
      <c r="P38" s="10"/>
    </row>
    <row r="39" spans="6:16">
      <c r="P39" s="10"/>
    </row>
    <row r="40" spans="6:16">
      <c r="P40" s="10"/>
    </row>
  </sheetData>
  <mergeCells count="149">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 ref="E22:E24"/>
    <mergeCell ref="F22:F24"/>
    <mergeCell ref="A28:A30"/>
    <mergeCell ref="B28:B30"/>
    <mergeCell ref="C28:C30"/>
    <mergeCell ref="D28:D30"/>
    <mergeCell ref="E28:E30"/>
    <mergeCell ref="F28:F30"/>
    <mergeCell ref="G28:G30"/>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A7:A9"/>
    <mergeCell ref="B7:B9"/>
    <mergeCell ref="C7:C9"/>
    <mergeCell ref="D7:D9"/>
    <mergeCell ref="E7:E9"/>
    <mergeCell ref="F7:F9"/>
    <mergeCell ref="G7:G9"/>
    <mergeCell ref="H7:H9"/>
    <mergeCell ref="I7:I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s>
  <conditionalFormatting sqref="A4:A30">
    <cfRule type="cellIs" dxfId="51" priority="4" stopIfTrue="1" operator="equal">
      <formula>0</formula>
    </cfRule>
  </conditionalFormatting>
  <conditionalFormatting sqref="B4:J30">
    <cfRule type="cellIs" priority="2" operator="equal">
      <formula>""</formula>
    </cfRule>
    <cfRule type="expression" dxfId="50" priority="3" stopIfTrue="1">
      <formula>OFFSET($A$2,(COLUMN()-1)*3-1,(ROW()+2)/3-1,1,1)&lt;&gt;CONCATENATE(RIGHT(B4,1),MID(B4,2,1),LEFT(B4,1))</formula>
    </cfRule>
  </conditionalFormatting>
  <conditionalFormatting sqref="O7 O10 O13 O16 O19 O22 O25 O4 O28">
    <cfRule type="iconSet" priority="1">
      <iconSet iconSet="3Arrows" reverse="1">
        <cfvo type="percent" val="0"/>
        <cfvo type="num" val="2" gte="0"/>
        <cfvo type="num" val="MIN(($A$3-2),(MAX($O$4:$O$30)))"/>
      </iconSet>
    </cfRule>
  </conditionalFormatting>
  <dataValidations count="1">
    <dataValidation type="list" allowBlank="1" showInputMessage="1" showErrorMessage="1" sqref="B4:J30" xr:uid="{00000000-0002-0000-08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98" orientation="landscape" r:id="rId1"/>
  <headerFooter>
    <oddHeader>&amp;C&amp;A</oddHeader>
    <oddFooter>&amp;LPrepared by City Squash Club&amp;C&amp;F&amp;R&amp;D</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T40"/>
  <sheetViews>
    <sheetView zoomScaleNormal="100" workbookViewId="0">
      <selection activeCell="M40" sqref="M40"/>
    </sheetView>
  </sheetViews>
  <sheetFormatPr baseColWidth="10" defaultColWidth="8.83203125" defaultRowHeight="15"/>
  <cols>
    <col min="1" max="7" width="12.33203125" customWidth="1"/>
    <col min="8" max="8" width="0.1640625" customWidth="1"/>
    <col min="9" max="10" width="12.33203125" hidden="1" customWidth="1"/>
    <col min="11" max="11" width="10.6640625" customWidth="1"/>
    <col min="12" max="14" width="8.5" customWidth="1"/>
    <col min="15" max="15" width="10.6640625" customWidth="1"/>
    <col min="16" max="16" width="17.83203125" customWidth="1"/>
    <col min="17" max="17" width="10.6640625" style="4" customWidth="1"/>
  </cols>
  <sheetData>
    <row r="1" spans="1:18" ht="15.75" customHeight="1">
      <c r="A1" s="21"/>
      <c r="B1" s="98">
        <f t="shared" ref="B1:J1" ca="1" si="0">VLOOKUP(CONCATENATE(LEFT($A$2,1),COLUMN()-1),nevezettek,3,FALSE)</f>
        <v>0</v>
      </c>
      <c r="C1" s="98">
        <f t="shared" ca="1" si="0"/>
        <v>0</v>
      </c>
      <c r="D1" s="98">
        <f t="shared" ca="1" si="0"/>
        <v>0</v>
      </c>
      <c r="E1" s="98">
        <f t="shared" ca="1" si="0"/>
        <v>0</v>
      </c>
      <c r="F1" s="98">
        <f t="shared" ca="1" si="0"/>
        <v>0</v>
      </c>
      <c r="G1" s="98">
        <f t="shared" ca="1" si="0"/>
        <v>0</v>
      </c>
      <c r="H1" s="98">
        <f t="shared" ca="1" si="0"/>
        <v>0</v>
      </c>
      <c r="I1" s="98">
        <f t="shared" ca="1" si="0"/>
        <v>0</v>
      </c>
      <c r="J1" s="107" t="e">
        <f t="shared" ca="1" si="0"/>
        <v>#N/A</v>
      </c>
      <c r="K1" s="110" t="s">
        <v>31</v>
      </c>
      <c r="L1" s="113" t="s">
        <v>59</v>
      </c>
      <c r="M1" s="89" t="s">
        <v>58</v>
      </c>
      <c r="N1" s="92" t="s">
        <v>65</v>
      </c>
      <c r="O1" s="95" t="s">
        <v>167</v>
      </c>
      <c r="P1" s="4"/>
    </row>
    <row r="2" spans="1:18">
      <c r="A2" s="22" t="str">
        <f ca="1">RIGHT(CELL("filename",A1),6)</f>
        <v>G liga</v>
      </c>
      <c r="B2" s="99"/>
      <c r="C2" s="99"/>
      <c r="D2" s="99"/>
      <c r="E2" s="99"/>
      <c r="F2" s="99"/>
      <c r="G2" s="99"/>
      <c r="H2" s="99"/>
      <c r="I2" s="99"/>
      <c r="J2" s="108"/>
      <c r="K2" s="111"/>
      <c r="L2" s="114"/>
      <c r="M2" s="90"/>
      <c r="N2" s="93"/>
      <c r="O2" s="96"/>
      <c r="P2" s="4"/>
    </row>
    <row r="3" spans="1:18">
      <c r="A3" s="23">
        <f ca="1">COUNTIF(Ligabeosztas!D:D,LEFT(A2,1))</f>
        <v>0</v>
      </c>
      <c r="B3" s="100"/>
      <c r="C3" s="100"/>
      <c r="D3" s="100"/>
      <c r="E3" s="100"/>
      <c r="F3" s="100"/>
      <c r="G3" s="100"/>
      <c r="H3" s="100"/>
      <c r="I3" s="100"/>
      <c r="J3" s="109"/>
      <c r="K3" s="112"/>
      <c r="L3" s="115"/>
      <c r="M3" s="91"/>
      <c r="N3" s="94"/>
      <c r="O3" s="97"/>
      <c r="P3" s="4"/>
      <c r="Q3" s="24"/>
    </row>
    <row r="4" spans="1:18" ht="15" customHeight="1">
      <c r="A4" s="98">
        <f ca="1">B1</f>
        <v>0</v>
      </c>
      <c r="B4" s="101"/>
      <c r="C4" s="104"/>
      <c r="D4" s="104"/>
      <c r="E4" s="104"/>
      <c r="F4" s="104"/>
      <c r="G4" s="104"/>
      <c r="H4" s="104"/>
      <c r="I4" s="104"/>
      <c r="J4" s="124"/>
      <c r="K4" s="127">
        <f>5*(COUNTIF(B4:J6,"5/0")+COUNTIF(B4:J6,"4/1")+COUNTIF(B4:J6,"3/2")+COUNTIF(B4:J6,"5/-"))+3*COUNTIF(B4:J6,"2/3")+2*COUNTIF(B4:J6,"1/4")+COUNTIF(B4:J6,"0/5")+0.01*L4+0.0001*(M4)</f>
        <v>0</v>
      </c>
      <c r="L4" s="130">
        <f>1*COUNTIF(B4:J6,"5/0")+1*COUNTIF(B4:J6,"4/1")+1*COUNTIF(B4:J6,"3/2")+1*COUNTIF(B4:J6,"5/-")+0*COUNTIF(B4:J6,"2/3")+0*COUNTIF(B4:J6,"1/4")+0*COUNTIF(B4:J6,"0/5")</f>
        <v>0</v>
      </c>
      <c r="M4" s="116">
        <f>5*COUNTIF(B4:J6,"5/0")+4*COUNTIF(B4:J6,"4/1")+3*COUNTIF(B4:J6,"3/2")+5*COUNTIF(B4:J6,"5/-")+2*COUNTIF(B4:J6,"2/3")+1*COUNTIF(B4:J6,"1/4")+0*COUNTIF(B4:J6,"0/5")</f>
        <v>0</v>
      </c>
      <c r="N4" s="119">
        <f>0*COUNTIF(B4:J6,"5/0")+1*COUNTIF(B4:J6,"4/1")+2*COUNTIF(B4:J6,"3/2")+3*COUNTIF(B4:J6,"2/3")+4*COUNTIF(B4:J6,"1/4")+5*COUNTIF(B4:J6,"0/5")+5*COUNTIF(B4:J6,"-/5")</f>
        <v>0</v>
      </c>
      <c r="O4" s="133">
        <f>RANK(K4,K$4:K$30)</f>
        <v>1</v>
      </c>
      <c r="P4" s="9"/>
    </row>
    <row r="5" spans="1:18">
      <c r="A5" s="99"/>
      <c r="B5" s="102"/>
      <c r="C5" s="105"/>
      <c r="D5" s="105"/>
      <c r="E5" s="105"/>
      <c r="F5" s="105"/>
      <c r="G5" s="105"/>
      <c r="H5" s="105"/>
      <c r="I5" s="105"/>
      <c r="J5" s="125"/>
      <c r="K5" s="128"/>
      <c r="L5" s="131"/>
      <c r="M5" s="117"/>
      <c r="N5" s="120"/>
      <c r="O5" s="134"/>
      <c r="P5" s="4"/>
    </row>
    <row r="6" spans="1:18">
      <c r="A6" s="100"/>
      <c r="B6" s="103"/>
      <c r="C6" s="106"/>
      <c r="D6" s="106"/>
      <c r="E6" s="106"/>
      <c r="F6" s="106"/>
      <c r="G6" s="106"/>
      <c r="H6" s="106"/>
      <c r="I6" s="106"/>
      <c r="J6" s="126"/>
      <c r="K6" s="129"/>
      <c r="L6" s="132"/>
      <c r="M6" s="118"/>
      <c r="N6" s="121"/>
      <c r="O6" s="29">
        <f>IFERROR(K4/SUM(M4:N6),0)</f>
        <v>0</v>
      </c>
      <c r="P6" s="10"/>
    </row>
    <row r="7" spans="1:18">
      <c r="A7" s="98">
        <f ca="1">C1</f>
        <v>0</v>
      </c>
      <c r="B7" s="104"/>
      <c r="C7" s="101"/>
      <c r="D7" s="104"/>
      <c r="E7" s="104"/>
      <c r="F7" s="104"/>
      <c r="G7" s="104"/>
      <c r="H7" s="104"/>
      <c r="I7" s="104"/>
      <c r="J7" s="124"/>
      <c r="K7" s="127">
        <f t="shared" ref="K7" si="1">5*(COUNTIF(B7:J9,"5/0")+COUNTIF(B7:J9,"4/1")+COUNTIF(B7:J9,"3/2")+COUNTIF(B7:J9,"5/-"))+3*COUNTIF(B7:J9,"2/3")+2*COUNTIF(B7:J9,"1/4")+COUNTIF(B7:J9,"0/5")+0.01*L7+0.0001*(M7)</f>
        <v>0</v>
      </c>
      <c r="L7" s="130">
        <f>1*COUNTIF(B7:J9,"5/0")+1*COUNTIF(B7:J9,"4/1")+1*COUNTIF(B7:J9,"3/2")+1*COUNTIF(B7:J9,"5/-")+0*COUNTIF(B7:J9,"2/3")+0*COUNTIF(B7:J9,"1/4")+0*COUNTIF(B7:J9,"0/5")</f>
        <v>0</v>
      </c>
      <c r="M7" s="116">
        <f>5*COUNTIF(B7:J9,"5/0")+4*COUNTIF(B7:J9,"4/1")+3*COUNTIF(B7:J9,"3/2")+5*COUNTIF(B7:J9,"5/-")+2*COUNTIF(B7:J9,"2/3")+1*COUNTIF(B7:J9,"1/4")+0*COUNTIF(B7:J9,"0/5")</f>
        <v>0</v>
      </c>
      <c r="N7" s="119">
        <f>0*COUNTIF(B7:J9,"5/0")+1*COUNTIF(B7:J9,"4/1")+2*COUNTIF(B7:J9,"3/2")+3*COUNTIF(B7:J9,"2/3")+4*COUNTIF(B7:J9,"1/4")+5*COUNTIF(B7:J9,"0/5")+5*COUNTIF(B7:J9,"-/5")</f>
        <v>0</v>
      </c>
      <c r="O7" s="133">
        <f>RANK(K7,K$4:K$30)</f>
        <v>1</v>
      </c>
      <c r="P7" s="10"/>
      <c r="R7" s="5"/>
    </row>
    <row r="8" spans="1:18">
      <c r="A8" s="99"/>
      <c r="B8" s="105"/>
      <c r="C8" s="102"/>
      <c r="D8" s="105"/>
      <c r="E8" s="105"/>
      <c r="F8" s="105"/>
      <c r="G8" s="105"/>
      <c r="H8" s="105"/>
      <c r="I8" s="105"/>
      <c r="J8" s="125"/>
      <c r="K8" s="128"/>
      <c r="L8" s="131"/>
      <c r="M8" s="117"/>
      <c r="N8" s="120"/>
      <c r="O8" s="134"/>
      <c r="P8" s="2"/>
      <c r="R8" s="5"/>
    </row>
    <row r="9" spans="1:18">
      <c r="A9" s="100"/>
      <c r="B9" s="106"/>
      <c r="C9" s="103"/>
      <c r="D9" s="106"/>
      <c r="E9" s="106"/>
      <c r="F9" s="106"/>
      <c r="G9" s="106"/>
      <c r="H9" s="106"/>
      <c r="I9" s="106"/>
      <c r="J9" s="126"/>
      <c r="K9" s="129"/>
      <c r="L9" s="132"/>
      <c r="M9" s="118"/>
      <c r="N9" s="121"/>
      <c r="O9" s="29">
        <f>IFERROR(K7/SUM(M7:N9),0)</f>
        <v>0</v>
      </c>
      <c r="P9" s="10"/>
      <c r="R9" s="8"/>
    </row>
    <row r="10" spans="1:18">
      <c r="A10" s="98">
        <f ca="1">D1</f>
        <v>0</v>
      </c>
      <c r="B10" s="104"/>
      <c r="C10" s="104"/>
      <c r="D10" s="101"/>
      <c r="E10" s="104"/>
      <c r="F10" s="104"/>
      <c r="G10" s="104"/>
      <c r="H10" s="104"/>
      <c r="I10" s="104"/>
      <c r="J10" s="124"/>
      <c r="K10" s="127">
        <f t="shared" ref="K10" si="2">5*(COUNTIF(B10:J12,"5/0")+COUNTIF(B10:J12,"4/1")+COUNTIF(B10:J12,"3/2")+COUNTIF(B10:J12,"5/-"))+3*COUNTIF(B10:J12,"2/3")+2*COUNTIF(B10:J12,"1/4")+COUNTIF(B10:J12,"0/5")+0.01*L10+0.0001*(M10)</f>
        <v>0</v>
      </c>
      <c r="L10" s="130">
        <f>1*COUNTIF(B10:J12,"5/0")+1*COUNTIF(B10:J12,"4/1")+1*COUNTIF(B10:J12,"3/2")+1*COUNTIF(B10:J12,"5/-")+0*COUNTIF(B10:J12,"2/3")+0*COUNTIF(B10:J12,"1/4")+0*COUNTIF(B10:J12,"0/5")</f>
        <v>0</v>
      </c>
      <c r="M10" s="116">
        <f>5*COUNTIF(B10:J12,"5/0")+4*COUNTIF(B10:J12,"4/1")+3*COUNTIF(B10:J12,"3/2")+5*COUNTIF(B10:J12,"5/-")+2*COUNTIF(B10:J12,"2/3")+1*COUNTIF(B10:J12,"1/4")+0*COUNTIF(B10:J12,"0/5")</f>
        <v>0</v>
      </c>
      <c r="N10" s="119">
        <f>0*COUNTIF(B10:J12,"5/0")+1*COUNTIF(B10:J12,"4/1")+2*COUNTIF(B10:J12,"3/2")+3*COUNTIF(B10:J12,"2/3")+4*COUNTIF(B10:J12,"1/4")+5*COUNTIF(B10:J12,"0/5")+5*COUNTIF(B10:J12,"-/5")</f>
        <v>0</v>
      </c>
      <c r="O10" s="133">
        <f>RANK(K10,K$4:K$30)</f>
        <v>1</v>
      </c>
      <c r="P10" s="10"/>
    </row>
    <row r="11" spans="1:18">
      <c r="A11" s="99"/>
      <c r="B11" s="105"/>
      <c r="C11" s="105"/>
      <c r="D11" s="102"/>
      <c r="E11" s="105"/>
      <c r="F11" s="105"/>
      <c r="G11" s="105"/>
      <c r="H11" s="105"/>
      <c r="I11" s="105"/>
      <c r="J11" s="125"/>
      <c r="K11" s="128"/>
      <c r="L11" s="131"/>
      <c r="M11" s="117"/>
      <c r="N11" s="120"/>
      <c r="O11" s="134"/>
      <c r="P11" s="1"/>
      <c r="R11" s="6"/>
    </row>
    <row r="12" spans="1:18">
      <c r="A12" s="100"/>
      <c r="B12" s="106"/>
      <c r="C12" s="106"/>
      <c r="D12" s="103"/>
      <c r="E12" s="106"/>
      <c r="F12" s="106"/>
      <c r="G12" s="106"/>
      <c r="H12" s="106"/>
      <c r="I12" s="106"/>
      <c r="J12" s="126"/>
      <c r="K12" s="129"/>
      <c r="L12" s="132"/>
      <c r="M12" s="118"/>
      <c r="N12" s="121"/>
      <c r="O12" s="29">
        <f>IFERROR(K10/SUM(M10:N12),0)</f>
        <v>0</v>
      </c>
      <c r="P12" s="10"/>
    </row>
    <row r="13" spans="1:18">
      <c r="A13" s="98">
        <f ca="1">E1</f>
        <v>0</v>
      </c>
      <c r="B13" s="104"/>
      <c r="C13" s="104"/>
      <c r="D13" s="104"/>
      <c r="E13" s="101"/>
      <c r="F13" s="104"/>
      <c r="G13" s="104"/>
      <c r="H13" s="104"/>
      <c r="I13" s="104"/>
      <c r="J13" s="124"/>
      <c r="K13" s="127">
        <f t="shared" ref="K13" si="3">5*(COUNTIF(B13:J15,"5/0")+COUNTIF(B13:J15,"4/1")+COUNTIF(B13:J15,"3/2")+COUNTIF(B13:J15,"5/-"))+3*COUNTIF(B13:J15,"2/3")+2*COUNTIF(B13:J15,"1/4")+COUNTIF(B13:J15,"0/5")+0.01*L13+0.0001*(M13)</f>
        <v>0</v>
      </c>
      <c r="L13" s="130">
        <f>1*COUNTIF(B13:J15,"5/0")+1*COUNTIF(B13:J15,"4/1")+1*COUNTIF(B13:J15,"3/2")+1*COUNTIF(B13:J15,"5/-")+0*COUNTIF(B13:J15,"2/3")+0*COUNTIF(B13:J15,"1/4")+0*COUNTIF(B13:J15,"0/5")</f>
        <v>0</v>
      </c>
      <c r="M13" s="116">
        <f>5*COUNTIF(B13:J15,"5/0")+4*COUNTIF(B13:J15,"4/1")+3*COUNTIF(B13:J15,"3/2")+5*COUNTIF(B13:J15,"5/-")+2*COUNTIF(B13:J15,"2/3")+1*COUNTIF(B13:J15,"1/4")+0*COUNTIF(B13:J15,"0/5")</f>
        <v>0</v>
      </c>
      <c r="N13" s="119">
        <f>0*COUNTIF(B13:J15,"5/0")+1*COUNTIF(B13:J15,"4/1")+2*COUNTIF(B13:J15,"3/2")+3*COUNTIF(B13:J15,"2/3")+4*COUNTIF(B13:J15,"1/4")+5*COUNTIF(B13:J15,"0/5")+5*COUNTIF(B13:J15,"-/5")</f>
        <v>0</v>
      </c>
      <c r="O13" s="133">
        <f>RANK(K13,K$4:K$30)</f>
        <v>1</v>
      </c>
      <c r="P13" s="10"/>
    </row>
    <row r="14" spans="1:18">
      <c r="A14" s="99"/>
      <c r="B14" s="105"/>
      <c r="C14" s="105"/>
      <c r="D14" s="105"/>
      <c r="E14" s="102"/>
      <c r="F14" s="105"/>
      <c r="G14" s="105"/>
      <c r="H14" s="105"/>
      <c r="I14" s="105"/>
      <c r="J14" s="125"/>
      <c r="K14" s="128"/>
      <c r="L14" s="131"/>
      <c r="M14" s="117"/>
      <c r="N14" s="120"/>
      <c r="O14" s="134"/>
      <c r="P14" s="4"/>
      <c r="R14" s="6"/>
    </row>
    <row r="15" spans="1:18">
      <c r="A15" s="100"/>
      <c r="B15" s="106"/>
      <c r="C15" s="106"/>
      <c r="D15" s="106"/>
      <c r="E15" s="103"/>
      <c r="F15" s="106"/>
      <c r="G15" s="106"/>
      <c r="H15" s="106"/>
      <c r="I15" s="106"/>
      <c r="J15" s="126"/>
      <c r="K15" s="129"/>
      <c r="L15" s="132"/>
      <c r="M15" s="118"/>
      <c r="N15" s="121"/>
      <c r="O15" s="29">
        <f>IFERROR(K13/SUM(M13:N15),0)</f>
        <v>0</v>
      </c>
      <c r="P15" s="10"/>
    </row>
    <row r="16" spans="1:18">
      <c r="A16" s="98">
        <f ca="1">F1</f>
        <v>0</v>
      </c>
      <c r="B16" s="104"/>
      <c r="C16" s="104"/>
      <c r="D16" s="104"/>
      <c r="E16" s="104"/>
      <c r="F16" s="101"/>
      <c r="G16" s="104"/>
      <c r="H16" s="104"/>
      <c r="I16" s="104"/>
      <c r="J16" s="124"/>
      <c r="K16" s="127">
        <f t="shared" ref="K16" si="4">5*(COUNTIF(B16:J18,"5/0")+COUNTIF(B16:J18,"4/1")+COUNTIF(B16:J18,"3/2")+COUNTIF(B16:J18,"5/-"))+3*COUNTIF(B16:J18,"2/3")+2*COUNTIF(B16:J18,"1/4")+COUNTIF(B16:J18,"0/5")+0.01*L16+0.0001*(M16)</f>
        <v>0</v>
      </c>
      <c r="L16" s="130">
        <f>1*COUNTIF(B16:J18,"5/0")+1*COUNTIF(B16:J18,"4/1")+1*COUNTIF(B16:J18,"3/2")+1*COUNTIF(B16:J18,"5/-")+0*COUNTIF(B16:J18,"2/3")+0*COUNTIF(B16:J18,"1/4")+0*COUNTIF(B16:J18,"0/5")</f>
        <v>0</v>
      </c>
      <c r="M16" s="116">
        <f>5*COUNTIF(B16:J18,"5/0")+4*COUNTIF(B16:J18,"4/1")+3*COUNTIF(B16:J18,"3/2")+5*COUNTIF(B16:J18,"5/-")+2*COUNTIF(B16:J18,"2/3")+1*COUNTIF(B16:J18,"1/4")+0*COUNTIF(B16:J18,"0/5")</f>
        <v>0</v>
      </c>
      <c r="N16" s="119">
        <f>0*COUNTIF(B16:J18,"5/0")+1*COUNTIF(B16:J18,"4/1")+2*COUNTIF(B16:J18,"3/2")+3*COUNTIF(B16:J18,"2/3")+4*COUNTIF(B16:J18,"1/4")+5*COUNTIF(B16:J18,"0/5")+5*COUNTIF(B16:J18,"-/5")</f>
        <v>0</v>
      </c>
      <c r="O16" s="133">
        <f>RANK(K16,K$4:K$30)</f>
        <v>1</v>
      </c>
      <c r="P16" s="10"/>
    </row>
    <row r="17" spans="1:20">
      <c r="A17" s="99"/>
      <c r="B17" s="105"/>
      <c r="C17" s="105"/>
      <c r="D17" s="105"/>
      <c r="E17" s="105"/>
      <c r="F17" s="102"/>
      <c r="G17" s="105"/>
      <c r="H17" s="105"/>
      <c r="I17" s="105"/>
      <c r="J17" s="125"/>
      <c r="K17" s="128"/>
      <c r="L17" s="131"/>
      <c r="M17" s="117"/>
      <c r="N17" s="120"/>
      <c r="O17" s="134"/>
      <c r="P17" s="4"/>
    </row>
    <row r="18" spans="1:20">
      <c r="A18" s="100"/>
      <c r="B18" s="106"/>
      <c r="C18" s="106"/>
      <c r="D18" s="106"/>
      <c r="E18" s="106"/>
      <c r="F18" s="103"/>
      <c r="G18" s="106"/>
      <c r="H18" s="106"/>
      <c r="I18" s="106"/>
      <c r="J18" s="126"/>
      <c r="K18" s="129"/>
      <c r="L18" s="132"/>
      <c r="M18" s="118"/>
      <c r="N18" s="121"/>
      <c r="O18" s="29">
        <f>IFERROR(K16/SUM(M16:N18),0)</f>
        <v>0</v>
      </c>
      <c r="P18" s="10"/>
    </row>
    <row r="19" spans="1:20">
      <c r="A19" s="98">
        <f ca="1">G1</f>
        <v>0</v>
      </c>
      <c r="B19" s="104"/>
      <c r="C19" s="104"/>
      <c r="D19" s="104"/>
      <c r="E19" s="104"/>
      <c r="F19" s="104"/>
      <c r="G19" s="101"/>
      <c r="H19" s="104"/>
      <c r="I19" s="104"/>
      <c r="J19" s="124"/>
      <c r="K19" s="127">
        <f t="shared" ref="K19" si="5">5*(COUNTIF(B19:J21,"5/0")+COUNTIF(B19:J21,"4/1")+COUNTIF(B19:J21,"3/2")+COUNTIF(B19:J21,"5/-"))+3*COUNTIF(B19:J21,"2/3")+2*COUNTIF(B19:J21,"1/4")+COUNTIF(B19:J21,"0/5")+0.01*L19+0.0001*(M19)</f>
        <v>0</v>
      </c>
      <c r="L19" s="130">
        <f>1*COUNTIF(B19:J21,"5/0")+1*COUNTIF(B19:J21,"4/1")+1*COUNTIF(B19:J21,"3/2")+1*COUNTIF(B19:J21,"5/-")+0*COUNTIF(B19:J21,"2/3")+0*COUNTIF(B19:J21,"1/4")+0*COUNTIF(B19:J21,"0/5")</f>
        <v>0</v>
      </c>
      <c r="M19" s="116">
        <f>5*COUNTIF(B19:J21,"5/0")+4*COUNTIF(B19:J21,"4/1")+3*COUNTIF(B19:J21,"3/2")+5*COUNTIF(B19:J21,"5/-")+2*COUNTIF(B19:J21,"2/3")+1*COUNTIF(B19:J21,"1/4")+0*COUNTIF(B19:J21,"0/5")</f>
        <v>0</v>
      </c>
      <c r="N19" s="119">
        <f>0*COUNTIF(B19:J21,"5/0")+1*COUNTIF(B19:J21,"4/1")+2*COUNTIF(B19:J21,"3/2")+3*COUNTIF(B19:J21,"2/3")+4*COUNTIF(B19:J21,"1/4")+5*COUNTIF(B19:J21,"0/5")+5*COUNTIF(B19:J21,"-/5")</f>
        <v>0</v>
      </c>
      <c r="O19" s="133">
        <f>RANK(K19,K$4:K$30)</f>
        <v>1</v>
      </c>
      <c r="P19" s="10"/>
      <c r="R19" s="5"/>
    </row>
    <row r="20" spans="1:20">
      <c r="A20" s="99"/>
      <c r="B20" s="105"/>
      <c r="C20" s="105"/>
      <c r="D20" s="105"/>
      <c r="E20" s="105"/>
      <c r="F20" s="105"/>
      <c r="G20" s="102"/>
      <c r="H20" s="105"/>
      <c r="I20" s="105"/>
      <c r="J20" s="125"/>
      <c r="K20" s="128"/>
      <c r="L20" s="131"/>
      <c r="M20" s="117"/>
      <c r="N20" s="120"/>
      <c r="O20" s="134"/>
      <c r="P20" s="1"/>
      <c r="R20" s="5"/>
    </row>
    <row r="21" spans="1:20" ht="13.75" customHeight="1">
      <c r="A21" s="100"/>
      <c r="B21" s="106"/>
      <c r="C21" s="106"/>
      <c r="D21" s="106"/>
      <c r="E21" s="106"/>
      <c r="F21" s="106"/>
      <c r="G21" s="103"/>
      <c r="H21" s="106"/>
      <c r="I21" s="106"/>
      <c r="J21" s="126"/>
      <c r="K21" s="129"/>
      <c r="L21" s="132"/>
      <c r="M21" s="118"/>
      <c r="N21" s="121"/>
      <c r="O21" s="29">
        <f>IFERROR(K19/SUM(M19:N21),0)</f>
        <v>0</v>
      </c>
      <c r="P21" s="10"/>
    </row>
    <row r="22" spans="1:20" ht="2.5" hidden="1" customHeight="1">
      <c r="A22" s="98">
        <f ca="1">H1</f>
        <v>0</v>
      </c>
      <c r="B22" s="104"/>
      <c r="C22" s="104"/>
      <c r="D22" s="104"/>
      <c r="E22" s="104"/>
      <c r="F22" s="104"/>
      <c r="G22" s="104"/>
      <c r="H22" s="101"/>
      <c r="I22" s="104"/>
      <c r="J22" s="124"/>
      <c r="K22" s="127">
        <f t="shared" ref="K22" si="6">5*(COUNTIF(B22:J24,"5/0")+COUNTIF(B22:J24,"4/1")+COUNTIF(B22:J24,"3/2")+COUNTIF(B22:J24,"5/-"))+3*COUNTIF(B22:J24,"2/3")+2*COUNTIF(B22:J24,"1/4")+COUNTIF(B22:J24,"0/5")+0.01*L22+0.0001*(M22)</f>
        <v>0</v>
      </c>
      <c r="L22" s="130">
        <f>1*COUNTIF(B22:J24,"5/0")+1*COUNTIF(B22:J24,"4/1")+1*COUNTIF(B22:J24,"3/2")+1*COUNTIF(B22:J24,"5/-")+0*COUNTIF(B22:J24,"2/3")+0*COUNTIF(B22:J24,"1/4")+0*COUNTIF(B22:J24,"0/5")</f>
        <v>0</v>
      </c>
      <c r="M22" s="116">
        <f>5*COUNTIF(B22:J24,"5/0")+4*COUNTIF(B22:J24,"4/1")+3*COUNTIF(B22:J24,"3/2")+5*COUNTIF(B22:J24,"5/-")+2*COUNTIF(B22:J24,"2/3")+1*COUNTIF(B22:J24,"1/4")+0*COUNTIF(B22:J24,"0/5")</f>
        <v>0</v>
      </c>
      <c r="N22" s="119">
        <f>0*COUNTIF(B22:J24,"5/0")+1*COUNTIF(B22:J24,"4/1")+2*COUNTIF(B22:J24,"3/2")+3*COUNTIF(B22:J24,"2/3")+4*COUNTIF(B22:J24,"1/4")+5*COUNTIF(B22:J24,"0/5")+5*COUNTIF(B22:J24,"-/5")</f>
        <v>0</v>
      </c>
      <c r="O22" s="133">
        <f>RANK(K22,K$4:K$30)</f>
        <v>1</v>
      </c>
      <c r="P22" s="10"/>
    </row>
    <row r="23" spans="1:20" hidden="1">
      <c r="A23" s="99"/>
      <c r="B23" s="105"/>
      <c r="C23" s="105"/>
      <c r="D23" s="105"/>
      <c r="E23" s="105"/>
      <c r="F23" s="105"/>
      <c r="G23" s="105"/>
      <c r="H23" s="102"/>
      <c r="I23" s="105"/>
      <c r="J23" s="125"/>
      <c r="K23" s="128"/>
      <c r="L23" s="131"/>
      <c r="M23" s="117"/>
      <c r="N23" s="120"/>
      <c r="O23" s="134"/>
      <c r="P23" s="1"/>
      <c r="R23" s="7"/>
      <c r="T23" s="3"/>
    </row>
    <row r="24" spans="1:20" hidden="1">
      <c r="A24" s="100"/>
      <c r="B24" s="106"/>
      <c r="C24" s="106"/>
      <c r="D24" s="106"/>
      <c r="E24" s="106"/>
      <c r="F24" s="106"/>
      <c r="G24" s="106"/>
      <c r="H24" s="103"/>
      <c r="I24" s="106"/>
      <c r="J24" s="126"/>
      <c r="K24" s="129"/>
      <c r="L24" s="132"/>
      <c r="M24" s="118"/>
      <c r="N24" s="121"/>
      <c r="O24" s="29">
        <f>IFERROR(K22/SUM(M22:N24),0)</f>
        <v>0</v>
      </c>
      <c r="P24" s="10"/>
    </row>
    <row r="25" spans="1:20" hidden="1">
      <c r="A25" s="98">
        <f ca="1">I1</f>
        <v>0</v>
      </c>
      <c r="B25" s="104"/>
      <c r="C25" s="104"/>
      <c r="D25" s="104"/>
      <c r="E25" s="104"/>
      <c r="F25" s="104"/>
      <c r="G25" s="104"/>
      <c r="H25" s="104"/>
      <c r="I25" s="101"/>
      <c r="J25" s="124"/>
      <c r="K25" s="127">
        <f t="shared" ref="K25" si="7">5*(COUNTIF(B25:J27,"5/0")+COUNTIF(B25:J27,"4/1")+COUNTIF(B25:J27,"3/2")+COUNTIF(B25:J27,"5/-"))+3*COUNTIF(B25:J27,"2/3")+2*COUNTIF(B25:J27,"1/4")+COUNTIF(B25:J27,"0/5")+0.01*L25+0.0001*(M25)</f>
        <v>0</v>
      </c>
      <c r="L25" s="130">
        <f>1*COUNTIF(B25:J27,"5/0")+1*COUNTIF(B25:J27,"4/1")+1*COUNTIF(B25:J27,"3/2")+1*COUNTIF(B25:J27,"5/-")+0*COUNTIF(B25:J27,"2/3")+0*COUNTIF(B25:J27,"1/4")+0*COUNTIF(B25:J27,"0/5")</f>
        <v>0</v>
      </c>
      <c r="M25" s="116">
        <f>5*COUNTIF(B25:J27,"5/0")+4*COUNTIF(B25:J27,"4/1")+3*COUNTIF(B25:J27,"3/2")+5*COUNTIF(B25:J27,"5/-")+2*COUNTIF(B25:J27,"2/3")+1*COUNTIF(B25:J27,"1/4")+0*COUNTIF(B25:J27,"0/5")</f>
        <v>0</v>
      </c>
      <c r="N25" s="119">
        <f>0*COUNTIF(B25:J27,"5/0")+1*COUNTIF(B25:J27,"4/1")+2*COUNTIF(B25:J27,"3/2")+3*COUNTIF(B25:J27,"2/3")+4*COUNTIF(B25:J27,"1/4")+5*COUNTIF(B25:J27,"0/5")+5*COUNTIF(B25:J27,"-/5")</f>
        <v>0</v>
      </c>
      <c r="O25" s="133">
        <f>RANK(K25,K$4:K$30)</f>
        <v>1</v>
      </c>
      <c r="P25" s="10"/>
    </row>
    <row r="26" spans="1:20" hidden="1">
      <c r="A26" s="99"/>
      <c r="B26" s="105"/>
      <c r="C26" s="105"/>
      <c r="D26" s="105"/>
      <c r="E26" s="105"/>
      <c r="F26" s="105"/>
      <c r="G26" s="105"/>
      <c r="H26" s="105"/>
      <c r="I26" s="102"/>
      <c r="J26" s="125"/>
      <c r="K26" s="128"/>
      <c r="L26" s="131"/>
      <c r="M26" s="117"/>
      <c r="N26" s="120"/>
      <c r="O26" s="134"/>
      <c r="P26" s="2"/>
    </row>
    <row r="27" spans="1:20" hidden="1">
      <c r="A27" s="100"/>
      <c r="B27" s="106"/>
      <c r="C27" s="106"/>
      <c r="D27" s="106"/>
      <c r="E27" s="106"/>
      <c r="F27" s="106"/>
      <c r="G27" s="106"/>
      <c r="H27" s="106"/>
      <c r="I27" s="103"/>
      <c r="J27" s="126"/>
      <c r="K27" s="129"/>
      <c r="L27" s="132"/>
      <c r="M27" s="118"/>
      <c r="N27" s="121"/>
      <c r="O27" s="29">
        <f>IFERROR(K25/SUM(M25:N27),0)</f>
        <v>0</v>
      </c>
      <c r="P27" s="10"/>
    </row>
    <row r="28" spans="1:20" ht="15" hidden="1" customHeight="1">
      <c r="A28" s="98" t="e">
        <f ca="1">J1</f>
        <v>#N/A</v>
      </c>
      <c r="B28" s="104"/>
      <c r="C28" s="104"/>
      <c r="D28" s="104"/>
      <c r="E28" s="104"/>
      <c r="F28" s="104"/>
      <c r="G28" s="104"/>
      <c r="H28" s="104"/>
      <c r="I28" s="104"/>
      <c r="J28" s="101"/>
      <c r="K28" s="127">
        <f t="shared" ref="K28" si="8">5*(COUNTIF(B28:J30,"5/0")+COUNTIF(B28:J30,"4/1")+COUNTIF(B28:J30,"3/2")+COUNTIF(B28:J30,"5/-"))+3*COUNTIF(B28:J30,"2/3")+2*COUNTIF(B28:J30,"1/4")+COUNTIF(B28:J30,"0/5")+0.01*L28+0.0001*(M28)</f>
        <v>0</v>
      </c>
      <c r="L28" s="130">
        <f>1*COUNTIF(B28:J30,"5/0")+1*COUNTIF(B28:J30,"4/1")+1*COUNTIF(B28:J30,"3/2")+1*COUNTIF(B28:J30,"5/-")+0*COUNTIF(B28:J30,"2/3")+0*COUNTIF(B28:J30,"1/4")+0*COUNTIF(B28:J30,"0/5")</f>
        <v>0</v>
      </c>
      <c r="M28" s="116">
        <f>5*COUNTIF(B28:J30,"5/0")+4*COUNTIF(B28:J30,"4/1")+3*COUNTIF(B28:J30,"3/2")+5*COUNTIF(B28:J30,"5/-")+2*COUNTIF(B28:J30,"2/3")+1*COUNTIF(B28:J30,"1/4")+0*COUNTIF(B28:J30,"0/5")</f>
        <v>0</v>
      </c>
      <c r="N28" s="119">
        <f>0*COUNTIF(B28:J30,"5/0")+1*COUNTIF(B28:J30,"4/1")+2*COUNTIF(B28:J30,"3/2")+3*COUNTIF(B28:J30,"2/3")+4*COUNTIF(B28:J30,"1/4")+5*COUNTIF(B28:J30,"0/5")+5*COUNTIF(B28:J30,"-/5")</f>
        <v>0</v>
      </c>
      <c r="O28" s="133">
        <f>RANK(K28,K$4:K$30)</f>
        <v>1</v>
      </c>
      <c r="P28" s="10"/>
    </row>
    <row r="29" spans="1:20" ht="15" hidden="1" customHeight="1">
      <c r="A29" s="99"/>
      <c r="B29" s="105"/>
      <c r="C29" s="105"/>
      <c r="D29" s="105"/>
      <c r="E29" s="105"/>
      <c r="F29" s="105"/>
      <c r="G29" s="105"/>
      <c r="H29" s="105"/>
      <c r="I29" s="105"/>
      <c r="J29" s="102"/>
      <c r="K29" s="128"/>
      <c r="L29" s="131"/>
      <c r="M29" s="117"/>
      <c r="N29" s="120"/>
      <c r="O29" s="134"/>
      <c r="P29" s="2"/>
    </row>
    <row r="30" spans="1:20" ht="1.75" hidden="1" customHeight="1">
      <c r="A30" s="100"/>
      <c r="B30" s="106"/>
      <c r="C30" s="106"/>
      <c r="D30" s="106"/>
      <c r="E30" s="106"/>
      <c r="F30" s="106"/>
      <c r="G30" s="106"/>
      <c r="H30" s="106"/>
      <c r="I30" s="106"/>
      <c r="J30" s="103"/>
      <c r="K30" s="129"/>
      <c r="L30" s="132"/>
      <c r="M30" s="118"/>
      <c r="N30" s="121"/>
      <c r="O30" s="29">
        <f>IFERROR(K28/SUM(M28:N30),0)</f>
        <v>0</v>
      </c>
      <c r="P30" s="10"/>
    </row>
    <row r="31" spans="1:20">
      <c r="F31" s="4"/>
      <c r="G31" s="4"/>
      <c r="H31" s="4"/>
      <c r="I31" s="4"/>
      <c r="J31" s="4"/>
      <c r="K31" s="4"/>
      <c r="L31" s="4"/>
      <c r="M31" s="4"/>
      <c r="N31" s="4"/>
      <c r="O31" s="4"/>
      <c r="P31" s="4"/>
    </row>
    <row r="32" spans="1:20">
      <c r="C32" s="1"/>
      <c r="D32" s="1"/>
      <c r="E32" s="4"/>
      <c r="F32" s="4"/>
      <c r="G32" s="4"/>
      <c r="H32" s="4"/>
      <c r="I32" s="4"/>
      <c r="J32" s="4"/>
      <c r="K32" s="4"/>
      <c r="L32" s="4"/>
      <c r="M32" s="4"/>
      <c r="N32" s="4"/>
      <c r="O32" s="4"/>
      <c r="P32" s="4"/>
    </row>
    <row r="33" spans="6:16">
      <c r="F33" s="4"/>
      <c r="G33" s="4"/>
      <c r="H33" s="4"/>
      <c r="I33" s="4"/>
      <c r="J33" s="4"/>
      <c r="K33" s="4"/>
      <c r="L33" s="4"/>
      <c r="M33" s="4"/>
      <c r="N33" s="4"/>
      <c r="O33" s="4"/>
      <c r="P33" s="4"/>
    </row>
    <row r="34" spans="6:16">
      <c r="F34" s="4"/>
      <c r="G34" s="4"/>
      <c r="H34" s="4"/>
      <c r="I34" s="4"/>
      <c r="J34" s="4"/>
      <c r="K34" s="4"/>
      <c r="L34" s="4"/>
      <c r="M34" s="4"/>
      <c r="N34" s="4"/>
      <c r="O34" s="4"/>
      <c r="P34" s="4"/>
    </row>
    <row r="35" spans="6:16">
      <c r="P35" s="10"/>
    </row>
    <row r="36" spans="6:16">
      <c r="P36" s="10"/>
    </row>
    <row r="37" spans="6:16">
      <c r="P37" s="10"/>
    </row>
    <row r="38" spans="6:16">
      <c r="P38" s="10"/>
    </row>
    <row r="39" spans="6:16">
      <c r="P39" s="10"/>
    </row>
    <row r="40" spans="6:16">
      <c r="P40" s="10"/>
    </row>
  </sheetData>
  <mergeCells count="149">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 ref="E22:E24"/>
    <mergeCell ref="F22:F24"/>
    <mergeCell ref="A28:A30"/>
    <mergeCell ref="B28:B30"/>
    <mergeCell ref="C28:C30"/>
    <mergeCell ref="D28:D30"/>
    <mergeCell ref="E28:E30"/>
    <mergeCell ref="F28:F30"/>
    <mergeCell ref="G28:G30"/>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A7:A9"/>
    <mergeCell ref="B7:B9"/>
    <mergeCell ref="C7:C9"/>
    <mergeCell ref="D7:D9"/>
    <mergeCell ref="E7:E9"/>
    <mergeCell ref="F7:F9"/>
    <mergeCell ref="G7:G9"/>
    <mergeCell ref="H7:H9"/>
    <mergeCell ref="I7:I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s>
  <conditionalFormatting sqref="A4:A30">
    <cfRule type="cellIs" dxfId="49" priority="4" stopIfTrue="1" operator="equal">
      <formula>0</formula>
    </cfRule>
  </conditionalFormatting>
  <conditionalFormatting sqref="B4:J30">
    <cfRule type="cellIs" priority="2" operator="equal">
      <formula>""</formula>
    </cfRule>
    <cfRule type="expression" dxfId="48" priority="3" stopIfTrue="1">
      <formula>OFFSET($A$2,(COLUMN()-1)*3-1,(ROW()+2)/3-1,1,1)&lt;&gt;CONCATENATE(RIGHT(B4,1),MID(B4,2,1),LEFT(B4,1))</formula>
    </cfRule>
  </conditionalFormatting>
  <conditionalFormatting sqref="O7 O10 O13 O16 O19 O22 O25 O4 O28">
    <cfRule type="iconSet" priority="1">
      <iconSet iconSet="3Arrows" reverse="1">
        <cfvo type="percent" val="0"/>
        <cfvo type="num" val="2" gte="0"/>
        <cfvo type="num" val="MIN(($A$3-2),(MAX($O$4:$O$30)))"/>
      </iconSet>
    </cfRule>
  </conditionalFormatting>
  <dataValidations count="1">
    <dataValidation type="list" allowBlank="1" showInputMessage="1" showErrorMessage="1" sqref="B4:J30" xr:uid="{00000000-0002-0000-09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84" orientation="landscape" r:id="rId1"/>
  <headerFooter>
    <oddHeader>&amp;C&amp;A</oddHeader>
    <oddFooter>&amp;LPrepared by City Squash Club&amp;C&amp;F&amp;R&amp;D</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249977111117893"/>
    <pageSetUpPr fitToPage="1"/>
  </sheetPr>
  <dimension ref="A2:L29"/>
  <sheetViews>
    <sheetView zoomScale="110" zoomScaleNormal="110" workbookViewId="0">
      <selection activeCell="H34" sqref="H34"/>
    </sheetView>
  </sheetViews>
  <sheetFormatPr baseColWidth="10" defaultColWidth="9.33203125" defaultRowHeight="15"/>
  <cols>
    <col min="1" max="1" width="3.5" style="11" customWidth="1"/>
    <col min="2" max="2" width="24.6640625" style="11" customWidth="1"/>
    <col min="3" max="3" width="23.6640625" style="11" customWidth="1"/>
    <col min="4" max="4" width="24" style="11" customWidth="1"/>
    <col min="5" max="8" width="26" style="11" customWidth="1"/>
    <col min="9" max="9" width="5.5" style="11" customWidth="1"/>
    <col min="10" max="11" width="9.33203125" style="11"/>
    <col min="12" max="12" width="6" style="11" hidden="1" customWidth="1"/>
    <col min="13" max="16384" width="9.33203125" style="11"/>
  </cols>
  <sheetData>
    <row r="2" spans="1:12" ht="26">
      <c r="C2" s="12" t="s">
        <v>680</v>
      </c>
    </row>
    <row r="4" spans="1:12">
      <c r="B4" s="30" t="s">
        <v>0</v>
      </c>
      <c r="C4" s="30" t="s">
        <v>1</v>
      </c>
      <c r="D4" s="30" t="s">
        <v>3</v>
      </c>
      <c r="E4" s="30" t="s">
        <v>2</v>
      </c>
      <c r="F4" s="30" t="s">
        <v>383</v>
      </c>
      <c r="G4" s="30" t="s">
        <v>454</v>
      </c>
      <c r="H4" s="30" t="s">
        <v>455</v>
      </c>
      <c r="L4" s="25" t="s">
        <v>121</v>
      </c>
    </row>
    <row r="5" spans="1:12">
      <c r="B5" s="31" t="s">
        <v>36</v>
      </c>
      <c r="C5" s="31" t="s">
        <v>36</v>
      </c>
      <c r="D5" s="31" t="s">
        <v>36</v>
      </c>
      <c r="E5" s="31" t="s">
        <v>36</v>
      </c>
      <c r="F5" s="31" t="s">
        <v>36</v>
      </c>
      <c r="G5" s="31" t="s">
        <v>36</v>
      </c>
      <c r="H5" s="31" t="s">
        <v>36</v>
      </c>
      <c r="L5" s="25" t="s">
        <v>125</v>
      </c>
    </row>
    <row r="6" spans="1:12">
      <c r="A6" s="11">
        <v>1</v>
      </c>
      <c r="B6" s="32" t="str">
        <f t="shared" ref="B6:H22" si="0">VLOOKUP(CONCATENATE(LEFT(B$4,1),ROW()-5),nevezettek,3,FALSE)</f>
        <v>Marton Zoltán</v>
      </c>
      <c r="C6" s="32" t="str">
        <f t="shared" si="0"/>
        <v>Sákovics Péter</v>
      </c>
      <c r="D6" s="32" t="str">
        <f t="shared" si="0"/>
        <v>Székely Árpád</v>
      </c>
      <c r="E6" s="32" t="str">
        <f t="shared" si="0"/>
        <v>Bankits Csaba</v>
      </c>
      <c r="F6" s="32" t="str">
        <f t="shared" si="0"/>
        <v>Bakos Mátyás</v>
      </c>
      <c r="G6" s="32">
        <f t="shared" si="0"/>
        <v>0</v>
      </c>
      <c r="H6" s="32">
        <f t="shared" si="0"/>
        <v>0</v>
      </c>
      <c r="I6" s="13">
        <v>1</v>
      </c>
      <c r="L6" s="25" t="s">
        <v>63</v>
      </c>
    </row>
    <row r="7" spans="1:12">
      <c r="A7" s="11">
        <v>2</v>
      </c>
      <c r="B7" s="32" t="str">
        <f t="shared" si="0"/>
        <v>Tóth Zoltán</v>
      </c>
      <c r="C7" s="32" t="str">
        <f t="shared" si="0"/>
        <v>Tóth István</v>
      </c>
      <c r="D7" s="32" t="str">
        <f t="shared" si="0"/>
        <v>Tóth Bálint</v>
      </c>
      <c r="E7" s="32" t="str">
        <f t="shared" si="0"/>
        <v>Makszin Miklós</v>
      </c>
      <c r="F7" s="32" t="str">
        <f t="shared" si="0"/>
        <v>Szerdahelyi Dániel</v>
      </c>
      <c r="G7" s="32">
        <f t="shared" si="0"/>
        <v>0</v>
      </c>
      <c r="H7" s="32">
        <f t="shared" si="0"/>
        <v>0</v>
      </c>
      <c r="I7" s="13">
        <v>2</v>
      </c>
      <c r="L7" s="25" t="s">
        <v>64</v>
      </c>
    </row>
    <row r="8" spans="1:12">
      <c r="A8" s="11">
        <v>3</v>
      </c>
      <c r="B8" s="32" t="str">
        <f t="shared" si="0"/>
        <v>Polgár István</v>
      </c>
      <c r="C8" s="32" t="str">
        <f t="shared" si="0"/>
        <v>Kulcsár Sándor</v>
      </c>
      <c r="D8" s="32" t="str">
        <f t="shared" si="0"/>
        <v>Börzsönyi Balázs</v>
      </c>
      <c r="E8" s="32" t="str">
        <f t="shared" si="0"/>
        <v>Bíró Zoltán</v>
      </c>
      <c r="F8" s="32" t="str">
        <f t="shared" si="0"/>
        <v>Vincze Krisztián</v>
      </c>
      <c r="G8" s="32">
        <f t="shared" si="0"/>
        <v>0</v>
      </c>
      <c r="H8" s="32">
        <f t="shared" si="0"/>
        <v>0</v>
      </c>
      <c r="I8" s="13">
        <v>3</v>
      </c>
      <c r="L8" s="25" t="s">
        <v>126</v>
      </c>
    </row>
    <row r="9" spans="1:12">
      <c r="A9" s="11">
        <v>4</v>
      </c>
      <c r="B9" s="32" t="str">
        <f t="shared" si="0"/>
        <v>Weisz György</v>
      </c>
      <c r="C9" s="32" t="str">
        <f t="shared" si="0"/>
        <v>Bikali Balázs</v>
      </c>
      <c r="D9" s="32" t="str">
        <f t="shared" si="0"/>
        <v>Kmet Alex</v>
      </c>
      <c r="E9" s="32" t="str">
        <f t="shared" si="0"/>
        <v>Zsoldos Tamás</v>
      </c>
      <c r="F9" s="32" t="str">
        <f t="shared" si="0"/>
        <v>Hajba Tibor</v>
      </c>
      <c r="G9" s="32">
        <f t="shared" si="0"/>
        <v>0</v>
      </c>
      <c r="H9" s="32">
        <f t="shared" si="0"/>
        <v>0</v>
      </c>
      <c r="I9" s="13">
        <v>4</v>
      </c>
      <c r="L9" s="25" t="s">
        <v>122</v>
      </c>
    </row>
    <row r="10" spans="1:12">
      <c r="A10" s="11">
        <v>5</v>
      </c>
      <c r="B10" s="32" t="str">
        <f t="shared" si="0"/>
        <v>Nagy Ferenc</v>
      </c>
      <c r="C10" s="32" t="str">
        <f t="shared" si="0"/>
        <v>Markó Zoltán</v>
      </c>
      <c r="D10" s="32" t="str">
        <f t="shared" si="0"/>
        <v>Bartus Péter</v>
      </c>
      <c r="E10" s="32" t="str">
        <f t="shared" si="0"/>
        <v>Lukács Dániel</v>
      </c>
      <c r="F10" s="32" t="str">
        <f t="shared" si="0"/>
        <v>Hajba Zoé</v>
      </c>
      <c r="G10" s="32">
        <f t="shared" si="0"/>
        <v>0</v>
      </c>
      <c r="H10" s="32">
        <f t="shared" si="0"/>
        <v>0</v>
      </c>
      <c r="I10" s="13">
        <v>5</v>
      </c>
      <c r="L10" s="25" t="s">
        <v>123</v>
      </c>
    </row>
    <row r="11" spans="1:12" ht="12.5" customHeight="1">
      <c r="A11" s="11">
        <v>6</v>
      </c>
      <c r="B11" s="32" t="str">
        <f>VLOOKUP(CONCATENATE(LEFT(B$4,1),ROW()-5),nevezettek,3,FALSE)</f>
        <v>Dombay Miklós</v>
      </c>
      <c r="C11" s="32" t="str">
        <f t="shared" si="0"/>
        <v>Czupor András</v>
      </c>
      <c r="D11" s="32" t="str">
        <f t="shared" si="0"/>
        <v>Fekete Tamás</v>
      </c>
      <c r="E11" s="32" t="str">
        <f t="shared" si="0"/>
        <v>Molnár Milán</v>
      </c>
      <c r="F11" s="32" t="str">
        <f t="shared" si="0"/>
        <v>Kovács Zsolt</v>
      </c>
      <c r="G11" s="32">
        <f t="shared" si="0"/>
        <v>0</v>
      </c>
      <c r="H11" s="32">
        <f t="shared" si="0"/>
        <v>0</v>
      </c>
      <c r="I11" s="13">
        <v>6</v>
      </c>
      <c r="L11" s="25" t="s">
        <v>124</v>
      </c>
    </row>
    <row r="12" spans="1:12" ht="15.5" customHeight="1">
      <c r="A12" s="11">
        <v>7</v>
      </c>
      <c r="B12" s="32" t="str">
        <f t="shared" si="0"/>
        <v>Pék Róbert</v>
      </c>
      <c r="C12" s="32" t="str">
        <f t="shared" si="0"/>
        <v>Varga Lorena</v>
      </c>
      <c r="D12" s="32" t="str">
        <f t="shared" si="0"/>
        <v>Varga Tamás</v>
      </c>
      <c r="E12" s="32" t="str">
        <f t="shared" si="0"/>
        <v>Bognár Barna</v>
      </c>
      <c r="F12" s="32" t="str">
        <f t="shared" si="0"/>
        <v>Szekeres Martin</v>
      </c>
      <c r="G12" s="32">
        <f t="shared" si="0"/>
        <v>0</v>
      </c>
      <c r="H12" s="32">
        <f t="shared" si="0"/>
        <v>0</v>
      </c>
      <c r="I12" s="13">
        <v>7</v>
      </c>
    </row>
    <row r="13" spans="1:12" ht="14.5" customHeight="1">
      <c r="A13" s="11">
        <v>8</v>
      </c>
      <c r="B13" s="32" t="str">
        <f t="shared" si="0"/>
        <v>Kovács Gábor</v>
      </c>
      <c r="C13" s="32" t="str">
        <f t="shared" si="0"/>
        <v>Kovács László</v>
      </c>
      <c r="D13" s="32" t="str">
        <f t="shared" si="0"/>
        <v>Hatos Balázs</v>
      </c>
      <c r="E13" s="32" t="str">
        <f t="shared" si="0"/>
        <v>Gáspár Júlia</v>
      </c>
      <c r="F13" s="32" t="str">
        <f t="shared" si="0"/>
        <v>Némeh Balázs</v>
      </c>
      <c r="G13" s="32">
        <f t="shared" si="0"/>
        <v>0</v>
      </c>
      <c r="H13" s="32">
        <f t="shared" si="0"/>
        <v>0</v>
      </c>
      <c r="I13" s="13">
        <v>8</v>
      </c>
    </row>
    <row r="14" spans="1:12" ht="13.75" customHeight="1">
      <c r="A14" s="11">
        <v>9</v>
      </c>
      <c r="B14" s="32">
        <f t="shared" si="0"/>
        <v>0</v>
      </c>
      <c r="C14" s="32">
        <f t="shared" si="0"/>
        <v>0</v>
      </c>
      <c r="D14" s="32">
        <f t="shared" si="0"/>
        <v>0</v>
      </c>
      <c r="E14" s="32">
        <f t="shared" si="0"/>
        <v>0</v>
      </c>
      <c r="F14" s="32" t="str">
        <f t="shared" si="0"/>
        <v>Nagy Zoltán</v>
      </c>
      <c r="G14" s="32" t="e">
        <f t="shared" si="0"/>
        <v>#N/A</v>
      </c>
      <c r="H14" s="32" t="e">
        <f t="shared" si="0"/>
        <v>#N/A</v>
      </c>
      <c r="I14" s="13">
        <v>9</v>
      </c>
    </row>
    <row r="15" spans="1:12" ht="2.5" customHeight="1">
      <c r="A15" s="11">
        <v>10</v>
      </c>
      <c r="B15" s="32">
        <f t="shared" si="0"/>
        <v>0</v>
      </c>
      <c r="C15" s="32">
        <f t="shared" si="0"/>
        <v>0</v>
      </c>
      <c r="D15" s="32">
        <f t="shared" si="0"/>
        <v>0</v>
      </c>
      <c r="E15" s="32">
        <f t="shared" si="0"/>
        <v>0</v>
      </c>
      <c r="F15" s="32"/>
      <c r="G15" s="32"/>
      <c r="H15" s="32"/>
      <c r="I15" s="13">
        <v>10</v>
      </c>
    </row>
    <row r="16" spans="1:12" ht="17.5" hidden="1" customHeight="1">
      <c r="A16" s="11">
        <v>11</v>
      </c>
      <c r="B16" s="33"/>
      <c r="C16" s="33"/>
      <c r="D16" s="32">
        <f t="shared" si="0"/>
        <v>0</v>
      </c>
      <c r="E16" s="32">
        <f t="shared" si="0"/>
        <v>0</v>
      </c>
    </row>
    <row r="17" spans="1:9" ht="10.75" hidden="1" customHeight="1">
      <c r="B17" s="30"/>
      <c r="C17" s="30"/>
      <c r="D17" s="30"/>
    </row>
    <row r="18" spans="1:9" ht="1.5" hidden="1" customHeight="1">
      <c r="B18" s="31" t="s">
        <v>36</v>
      </c>
      <c r="C18" s="31" t="s">
        <v>36</v>
      </c>
      <c r="D18" s="30"/>
      <c r="E18" s="32" t="e">
        <f t="shared" si="0"/>
        <v>#N/A</v>
      </c>
      <c r="F18" s="33"/>
      <c r="G18" s="33"/>
      <c r="H18" s="33"/>
      <c r="I18" s="13">
        <v>12</v>
      </c>
    </row>
    <row r="19" spans="1:9" ht="4.5" hidden="1" customHeight="1">
      <c r="A19" s="11">
        <v>1</v>
      </c>
      <c r="B19" s="32" t="e">
        <f t="shared" ref="B19:C26" si="1">VLOOKUP(CONCATENATE(LEFT(B$17,1),ROW()-17),nevezettek,3,FALSE)</f>
        <v>#N/A</v>
      </c>
      <c r="C19" s="32" t="e">
        <f t="shared" si="1"/>
        <v>#N/A</v>
      </c>
      <c r="D19" s="30"/>
      <c r="E19" s="32" t="e">
        <f t="shared" si="0"/>
        <v>#N/A</v>
      </c>
      <c r="F19" s="33"/>
      <c r="G19" s="33"/>
      <c r="H19" s="33"/>
      <c r="I19" s="13">
        <v>13</v>
      </c>
    </row>
    <row r="20" spans="1:9" ht="3" hidden="1" customHeight="1">
      <c r="A20" s="11">
        <v>2</v>
      </c>
      <c r="B20" s="32" t="e">
        <f t="shared" si="1"/>
        <v>#N/A</v>
      </c>
      <c r="C20" s="32" t="e">
        <f t="shared" si="1"/>
        <v>#N/A</v>
      </c>
      <c r="D20" s="30"/>
      <c r="E20" s="32" t="e">
        <f t="shared" si="0"/>
        <v>#N/A</v>
      </c>
      <c r="F20" s="33"/>
      <c r="G20" s="33"/>
      <c r="H20" s="33"/>
      <c r="I20" s="13">
        <v>14</v>
      </c>
    </row>
    <row r="21" spans="1:9" ht="3.75" hidden="1" customHeight="1">
      <c r="A21" s="11">
        <v>3</v>
      </c>
      <c r="B21" s="32" t="e">
        <f t="shared" si="1"/>
        <v>#N/A</v>
      </c>
      <c r="C21" s="32" t="e">
        <f t="shared" si="1"/>
        <v>#N/A</v>
      </c>
      <c r="D21" s="30"/>
      <c r="E21" s="32" t="e">
        <f t="shared" si="0"/>
        <v>#N/A</v>
      </c>
      <c r="F21" s="33"/>
      <c r="G21" s="33"/>
      <c r="H21" s="33"/>
      <c r="I21" s="13">
        <v>15</v>
      </c>
    </row>
    <row r="22" spans="1:9" ht="3.75" hidden="1" customHeight="1">
      <c r="A22" s="11">
        <v>4</v>
      </c>
      <c r="B22" s="32" t="e">
        <f t="shared" si="1"/>
        <v>#N/A</v>
      </c>
      <c r="C22" s="32" t="e">
        <f t="shared" si="1"/>
        <v>#N/A</v>
      </c>
      <c r="D22" s="30"/>
      <c r="E22" s="32" t="e">
        <f t="shared" si="0"/>
        <v>#N/A</v>
      </c>
      <c r="F22" s="33"/>
      <c r="G22" s="33"/>
      <c r="H22" s="33"/>
      <c r="I22" s="13">
        <v>16</v>
      </c>
    </row>
    <row r="23" spans="1:9" ht="5.25" hidden="1" customHeight="1">
      <c r="A23" s="11">
        <v>5</v>
      </c>
      <c r="B23" s="32" t="e">
        <f t="shared" si="1"/>
        <v>#N/A</v>
      </c>
      <c r="C23" s="32" t="e">
        <f t="shared" si="1"/>
        <v>#N/A</v>
      </c>
      <c r="D23" s="30"/>
      <c r="E23" s="32" t="e">
        <f t="shared" ref="E23:E27" si="2">VLOOKUP(CONCATENATE(LEFT(E$4,1),ROW()-5),nevezettek,3,FALSE)</f>
        <v>#N/A</v>
      </c>
      <c r="F23" s="33"/>
      <c r="G23" s="33"/>
      <c r="H23" s="33"/>
      <c r="I23" s="13">
        <v>17</v>
      </c>
    </row>
    <row r="24" spans="1:9" ht="5.25" hidden="1" customHeight="1">
      <c r="A24" s="11">
        <v>6</v>
      </c>
      <c r="B24" s="32" t="e">
        <f t="shared" si="1"/>
        <v>#N/A</v>
      </c>
      <c r="C24" s="32" t="e">
        <f t="shared" si="1"/>
        <v>#N/A</v>
      </c>
      <c r="D24" s="30"/>
      <c r="E24" s="32" t="e">
        <f t="shared" si="2"/>
        <v>#N/A</v>
      </c>
      <c r="F24" s="33"/>
      <c r="G24" s="33"/>
      <c r="H24" s="33"/>
      <c r="I24" s="13">
        <v>18</v>
      </c>
    </row>
    <row r="25" spans="1:9" ht="5.25" hidden="1" customHeight="1">
      <c r="A25" s="11">
        <v>7</v>
      </c>
      <c r="B25" s="32" t="e">
        <f t="shared" si="1"/>
        <v>#N/A</v>
      </c>
      <c r="C25" s="32" t="e">
        <f t="shared" si="1"/>
        <v>#N/A</v>
      </c>
      <c r="D25" s="30"/>
      <c r="E25" s="32" t="e">
        <f t="shared" si="2"/>
        <v>#N/A</v>
      </c>
      <c r="F25" s="33"/>
      <c r="G25" s="33"/>
      <c r="H25" s="33"/>
      <c r="I25" s="13">
        <v>19</v>
      </c>
    </row>
    <row r="26" spans="1:9" ht="4.5" hidden="1" customHeight="1">
      <c r="A26" s="11">
        <v>8</v>
      </c>
      <c r="B26" s="32" t="e">
        <f t="shared" si="1"/>
        <v>#N/A</v>
      </c>
      <c r="C26" s="32" t="e">
        <f t="shared" si="1"/>
        <v>#N/A</v>
      </c>
      <c r="D26" s="30"/>
      <c r="E26" s="32" t="e">
        <f t="shared" si="2"/>
        <v>#N/A</v>
      </c>
      <c r="F26" s="33"/>
      <c r="G26" s="33"/>
      <c r="H26" s="33"/>
      <c r="I26" s="13">
        <v>20</v>
      </c>
    </row>
    <row r="27" spans="1:9" ht="4.5" hidden="1" customHeight="1">
      <c r="A27" s="11">
        <v>9</v>
      </c>
      <c r="B27" s="33"/>
      <c r="C27" s="33"/>
      <c r="D27" s="33"/>
      <c r="E27" s="32" t="e">
        <f t="shared" si="2"/>
        <v>#N/A</v>
      </c>
      <c r="F27" s="33"/>
      <c r="G27" s="33"/>
      <c r="H27" s="33"/>
      <c r="I27" s="13">
        <v>21</v>
      </c>
    </row>
    <row r="28" spans="1:9" hidden="1">
      <c r="B28" s="33"/>
      <c r="C28" s="33"/>
      <c r="D28" s="33"/>
      <c r="E28" s="32" t="s">
        <v>373</v>
      </c>
      <c r="F28" s="33"/>
      <c r="G28" s="33"/>
      <c r="H28" s="33"/>
      <c r="I28" s="13">
        <v>22</v>
      </c>
    </row>
    <row r="29" spans="1:9">
      <c r="B29" s="27"/>
    </row>
  </sheetData>
  <printOptions horizontalCentered="1"/>
  <pageMargins left="0.23622047244094491" right="0.23622047244094491" top="0.74803149606299213" bottom="0.74803149606299213" header="0.31496062992125984" footer="0.31496062992125984"/>
  <pageSetup paperSize="9" orientation="landscape" r:id="rId1"/>
  <headerFooter>
    <oddHeader>&amp;C&amp;A</oddHeader>
    <oddFooter>&amp;LPrepared by City Squash Club&amp;C&amp;F&amp;R&amp;D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pageSetUpPr fitToPage="1"/>
  </sheetPr>
  <dimension ref="Q1"/>
  <sheetViews>
    <sheetView showGridLines="0" workbookViewId="0">
      <selection activeCell="P13" sqref="P13"/>
    </sheetView>
  </sheetViews>
  <sheetFormatPr baseColWidth="10" defaultColWidth="8.83203125" defaultRowHeight="15"/>
  <cols>
    <col min="17" max="17" width="9.33203125" style="4" customWidth="1"/>
  </cols>
  <sheetData/>
  <printOptions horizontalCentered="1"/>
  <pageMargins left="0.23622047244094491" right="0.23622047244094491" top="0.74803149606299213" bottom="0.74803149606299213" header="0.31496062992125984" footer="0.31496062992125984"/>
  <pageSetup paperSize="9" scale="33" orientation="landscape" r:id="rId1"/>
  <headerFooter>
    <oddHeader>&amp;C&amp;A</oddHeader>
    <oddFooter>&amp;LPrepared by City Squash Club&amp;C&amp;F&amp;R&amp;D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39997558519241921"/>
    <pageSetUpPr fitToPage="1"/>
  </sheetPr>
  <dimension ref="A1:O294"/>
  <sheetViews>
    <sheetView zoomScaleNormal="100" workbookViewId="0">
      <pane xSplit="2" ySplit="1" topLeftCell="C25" activePane="bottomRight" state="frozen"/>
      <selection activeCell="C2" sqref="C2"/>
      <selection pane="topRight" activeCell="C2" sqref="C2"/>
      <selection pane="bottomLeft" activeCell="C2" sqref="C2"/>
      <selection pane="bottomRight" activeCell="T50" sqref="T50"/>
    </sheetView>
  </sheetViews>
  <sheetFormatPr baseColWidth="10" defaultColWidth="22.5" defaultRowHeight="15"/>
  <cols>
    <col min="1" max="1" width="12.5" style="15" bestFit="1" customWidth="1"/>
    <col min="2" max="2" width="10.6640625" style="15" bestFit="1" customWidth="1"/>
    <col min="3" max="3" width="19.5" style="16" bestFit="1" customWidth="1"/>
    <col min="4" max="4" width="12.6640625" style="20" customWidth="1"/>
    <col min="5" max="5" width="0.1640625" style="15" customWidth="1"/>
    <col min="6" max="6" width="10" style="15" customWidth="1"/>
    <col min="7" max="7" width="0.5" style="15" customWidth="1"/>
    <col min="8" max="8" width="12.83203125" style="16" hidden="1" customWidth="1"/>
    <col min="9" max="9" width="9.1640625" style="16" hidden="1" customWidth="1"/>
    <col min="10" max="10" width="12" style="16" hidden="1" customWidth="1"/>
    <col min="11" max="11" width="10.1640625" style="16" hidden="1" customWidth="1"/>
    <col min="12" max="12" width="12.5" style="16" hidden="1" customWidth="1"/>
    <col min="13" max="13" width="13.6640625" style="16" hidden="1" customWidth="1"/>
    <col min="14" max="14" width="19.5" style="15" hidden="1" customWidth="1"/>
    <col min="15" max="15" width="28.6640625" style="16" hidden="1" customWidth="1"/>
    <col min="16" max="16384" width="22.5" style="16"/>
  </cols>
  <sheetData>
    <row r="1" spans="1:15" ht="18.75" customHeight="1">
      <c r="A1" s="14" t="s">
        <v>20</v>
      </c>
      <c r="B1" s="14" t="s">
        <v>33</v>
      </c>
      <c r="C1" s="14" t="s">
        <v>45</v>
      </c>
      <c r="D1" s="14" t="s">
        <v>127</v>
      </c>
      <c r="E1" s="15" t="s">
        <v>136</v>
      </c>
      <c r="F1" s="15" t="s">
        <v>137</v>
      </c>
      <c r="G1" s="15" t="s">
        <v>138</v>
      </c>
      <c r="H1" s="16" t="s">
        <v>211</v>
      </c>
      <c r="N1" s="35" t="s">
        <v>332</v>
      </c>
      <c r="O1" s="35" t="s">
        <v>333</v>
      </c>
    </row>
    <row r="2" spans="1:15" ht="18.75" customHeight="1">
      <c r="A2" s="17" t="str">
        <f t="shared" ref="A2:A37" si="0">F2</f>
        <v>A1</v>
      </c>
      <c r="B2" s="17">
        <f t="shared" ref="B2:B81" si="1">ROW()-1</f>
        <v>1</v>
      </c>
      <c r="C2" s="18" t="s">
        <v>385</v>
      </c>
      <c r="D2" s="19" t="s">
        <v>21</v>
      </c>
      <c r="E2" s="15">
        <f t="shared" ref="E2:E81" si="2">IF(D2=D1,E1+1,1)</f>
        <v>1</v>
      </c>
      <c r="F2" s="15" t="str">
        <f>CONCATENATE(D2,E2)</f>
        <v>A1</v>
      </c>
      <c r="G2" s="15">
        <f t="shared" ref="G2:G6" ca="1" si="3">VLOOKUP(C2,INDIRECT("'"&amp;D2&amp;" liga'!$A$1:$P$33"),16,FALSE)</f>
        <v>1</v>
      </c>
      <c r="H2" s="34"/>
      <c r="N2" s="38"/>
      <c r="O2" s="36"/>
    </row>
    <row r="3" spans="1:15" ht="18.75" customHeight="1">
      <c r="A3" s="17" t="str">
        <f t="shared" si="0"/>
        <v>A2</v>
      </c>
      <c r="B3" s="17">
        <f t="shared" si="1"/>
        <v>2</v>
      </c>
      <c r="C3" s="18" t="s">
        <v>320</v>
      </c>
      <c r="D3" s="19" t="s">
        <v>21</v>
      </c>
      <c r="E3" s="15">
        <f t="shared" si="2"/>
        <v>2</v>
      </c>
      <c r="F3" s="15" t="str">
        <f t="shared" ref="F3:F81" si="4">CONCATENATE(D3,E3)</f>
        <v>A2</v>
      </c>
      <c r="G3" s="15">
        <f t="shared" ca="1" si="3"/>
        <v>1</v>
      </c>
      <c r="N3" s="38"/>
      <c r="O3" s="36"/>
    </row>
    <row r="4" spans="1:15" ht="18.75" customHeight="1">
      <c r="A4" s="17" t="str">
        <f t="shared" si="0"/>
        <v>A3</v>
      </c>
      <c r="B4" s="17">
        <f t="shared" si="1"/>
        <v>3</v>
      </c>
      <c r="C4" s="18" t="s">
        <v>357</v>
      </c>
      <c r="D4" s="19" t="s">
        <v>21</v>
      </c>
      <c r="E4" s="15">
        <f t="shared" si="2"/>
        <v>3</v>
      </c>
      <c r="F4" s="15" t="str">
        <f t="shared" si="4"/>
        <v>A3</v>
      </c>
      <c r="G4" s="15">
        <f t="shared" ca="1" si="3"/>
        <v>1</v>
      </c>
      <c r="N4" s="38"/>
      <c r="O4" s="36"/>
    </row>
    <row r="5" spans="1:15" ht="18.75" customHeight="1">
      <c r="A5" s="17" t="str">
        <f t="shared" si="0"/>
        <v>A4</v>
      </c>
      <c r="B5" s="17">
        <f t="shared" si="1"/>
        <v>4</v>
      </c>
      <c r="C5" s="18" t="s">
        <v>323</v>
      </c>
      <c r="D5" s="19" t="s">
        <v>21</v>
      </c>
      <c r="E5" s="15">
        <f t="shared" si="2"/>
        <v>4</v>
      </c>
      <c r="F5" s="15" t="str">
        <f t="shared" si="4"/>
        <v>A4</v>
      </c>
      <c r="G5" s="15">
        <f t="shared" ca="1" si="3"/>
        <v>1</v>
      </c>
      <c r="N5" s="39"/>
      <c r="O5" s="36"/>
    </row>
    <row r="6" spans="1:15" ht="18.75" customHeight="1">
      <c r="A6" s="17" t="str">
        <f t="shared" si="0"/>
        <v>A5</v>
      </c>
      <c r="B6" s="17">
        <f t="shared" si="1"/>
        <v>5</v>
      </c>
      <c r="C6" s="18" t="s">
        <v>321</v>
      </c>
      <c r="D6" s="19" t="s">
        <v>21</v>
      </c>
      <c r="E6" s="15">
        <f t="shared" si="2"/>
        <v>5</v>
      </c>
      <c r="F6" s="15" t="str">
        <f t="shared" si="4"/>
        <v>A5</v>
      </c>
      <c r="G6" s="15">
        <f t="shared" ca="1" si="3"/>
        <v>1</v>
      </c>
      <c r="N6" s="52"/>
      <c r="O6" s="36"/>
    </row>
    <row r="7" spans="1:15" ht="17.25" customHeight="1">
      <c r="A7" s="17" t="str">
        <f>F7</f>
        <v>A6</v>
      </c>
      <c r="B7" s="17">
        <f t="shared" si="1"/>
        <v>6</v>
      </c>
      <c r="C7" s="18" t="s">
        <v>442</v>
      </c>
      <c r="D7" s="19" t="s">
        <v>21</v>
      </c>
      <c r="E7" s="15">
        <f>IF(D7=D6,E6+1,1)</f>
        <v>6</v>
      </c>
      <c r="F7" s="15" t="str">
        <f>CONCATENATE(D7,E7)</f>
        <v>A6</v>
      </c>
      <c r="G7" s="15">
        <f ca="1">VLOOKUP(C7,INDIRECT("'"&amp;D7&amp;" liga'!$A$1:$P$33"),16,FALSE)</f>
        <v>1</v>
      </c>
      <c r="N7" s="39"/>
      <c r="O7" s="36"/>
    </row>
    <row r="8" spans="1:15" ht="18" customHeight="1">
      <c r="A8" s="17" t="str">
        <f>F8</f>
        <v>A7</v>
      </c>
      <c r="B8" s="17">
        <f t="shared" si="1"/>
        <v>7</v>
      </c>
      <c r="C8" s="18" t="s">
        <v>413</v>
      </c>
      <c r="D8" s="19" t="s">
        <v>21</v>
      </c>
      <c r="E8" s="15">
        <f>IF(D8=D7,E7+1,1)</f>
        <v>7</v>
      </c>
      <c r="F8" s="15" t="str">
        <f>CONCATENATE(D8,E8)</f>
        <v>A7</v>
      </c>
      <c r="G8" s="15">
        <f ca="1">VLOOKUP(C8,INDIRECT("'"&amp;D8&amp;" liga'!$A$1:$P$33"),16,FALSE)</f>
        <v>1</v>
      </c>
      <c r="N8" s="39"/>
      <c r="O8" s="36"/>
    </row>
    <row r="9" spans="1:15" ht="13.75" customHeight="1">
      <c r="A9" s="17" t="str">
        <f>F9</f>
        <v>A8</v>
      </c>
      <c r="B9" s="17">
        <f t="shared" si="1"/>
        <v>8</v>
      </c>
      <c r="C9" s="18" t="s">
        <v>410</v>
      </c>
      <c r="D9" s="19" t="s">
        <v>21</v>
      </c>
      <c r="E9" s="15">
        <f>IF(D9=D8,E8+1,1)</f>
        <v>8</v>
      </c>
      <c r="F9" s="15" t="str">
        <f>CONCATENATE(D9,E9)</f>
        <v>A8</v>
      </c>
      <c r="G9" s="15">
        <f ca="1">VLOOKUP(C9,INDIRECT("'"&amp;D9&amp;" liga'!$A$1:$P$33"),16,FALSE)</f>
        <v>1</v>
      </c>
      <c r="N9" s="53"/>
      <c r="O9" s="36"/>
    </row>
    <row r="10" spans="1:15" ht="3" customHeight="1">
      <c r="A10" s="17" t="str">
        <f>F10</f>
        <v>A9</v>
      </c>
      <c r="B10" s="17">
        <f t="shared" si="1"/>
        <v>9</v>
      </c>
      <c r="C10" s="18"/>
      <c r="D10" s="19" t="s">
        <v>21</v>
      </c>
      <c r="E10" s="15">
        <f>IF(D10=D9,E9+1,1)</f>
        <v>9</v>
      </c>
      <c r="F10" s="15" t="str">
        <f>CONCATENATE(D10,E10)</f>
        <v>A9</v>
      </c>
      <c r="G10" s="15">
        <f t="shared" ref="G10" ca="1" si="5">VLOOKUP(C10,INDIRECT("'"&amp;D10&amp;" liga'!$A$1:$P$33"),16,FALSE)</f>
        <v>1</v>
      </c>
      <c r="H10" s="34"/>
      <c r="N10" s="38"/>
      <c r="O10" s="36"/>
    </row>
    <row r="11" spans="1:15" ht="13.25" hidden="1" customHeight="1">
      <c r="A11" s="17" t="str">
        <f>F11</f>
        <v>A10</v>
      </c>
      <c r="B11" s="17">
        <f t="shared" si="1"/>
        <v>10</v>
      </c>
      <c r="C11" s="18"/>
      <c r="D11" s="19" t="s">
        <v>21</v>
      </c>
      <c r="E11" s="15">
        <f>IF(D11=D10,E10+1,1)</f>
        <v>10</v>
      </c>
      <c r="F11" s="15" t="str">
        <f>CONCATENATE(D11,E11)</f>
        <v>A10</v>
      </c>
      <c r="G11" s="15">
        <f t="shared" ref="G11" ca="1" si="6">VLOOKUP(C11,INDIRECT("'"&amp;D11&amp;" liga'!$A$1:$P$33"),16,FALSE)</f>
        <v>1</v>
      </c>
      <c r="H11" s="34"/>
      <c r="N11" s="38"/>
      <c r="O11" s="36"/>
    </row>
    <row r="12" spans="1:15" ht="18.75" customHeight="1">
      <c r="A12" s="17" t="str">
        <f t="shared" ref="A12:A18" si="7">F12</f>
        <v>B1</v>
      </c>
      <c r="B12" s="17">
        <f t="shared" si="1"/>
        <v>11</v>
      </c>
      <c r="C12" s="18" t="s">
        <v>322</v>
      </c>
      <c r="D12" s="19" t="s">
        <v>22</v>
      </c>
      <c r="E12" s="15">
        <f>IF(D12=D8,E8+1,1)</f>
        <v>1</v>
      </c>
      <c r="F12" s="15" t="str">
        <f t="shared" ref="F12:F18" si="8">CONCATENATE(D12,E12)</f>
        <v>B1</v>
      </c>
      <c r="G12" s="15">
        <f t="shared" ref="G12:G18" ca="1" si="9">VLOOKUP(C12,INDIRECT("'"&amp;D12&amp;" liga'!$A$1:$O$30"),15,FALSE)</f>
        <v>0</v>
      </c>
      <c r="N12" s="39"/>
      <c r="O12" s="36"/>
    </row>
    <row r="13" spans="1:15" ht="18.75" customHeight="1">
      <c r="A13" s="17" t="str">
        <f t="shared" si="7"/>
        <v>B2</v>
      </c>
      <c r="B13" s="17">
        <f t="shared" si="1"/>
        <v>12</v>
      </c>
      <c r="C13" s="18" t="s">
        <v>384</v>
      </c>
      <c r="D13" s="19" t="s">
        <v>22</v>
      </c>
      <c r="E13" s="15">
        <f t="shared" ref="E13:E18" si="10">IF(D13=D12,E12+1,1)</f>
        <v>2</v>
      </c>
      <c r="F13" s="15" t="str">
        <f t="shared" si="8"/>
        <v>B2</v>
      </c>
      <c r="G13" s="15">
        <f ca="1">VLOOKUP(C13,INDIRECT("'"&amp;D13&amp;" liga'!$A$1:$O$30"),15,FALSE)</f>
        <v>0</v>
      </c>
      <c r="N13" s="39"/>
      <c r="O13" s="36"/>
    </row>
    <row r="14" spans="1:15" ht="18.75" customHeight="1">
      <c r="A14" s="17" t="str">
        <f t="shared" si="7"/>
        <v>B3</v>
      </c>
      <c r="B14" s="17">
        <f t="shared" si="1"/>
        <v>13</v>
      </c>
      <c r="C14" s="18" t="s">
        <v>331</v>
      </c>
      <c r="D14" s="37" t="s">
        <v>22</v>
      </c>
      <c r="E14" s="15">
        <f t="shared" si="10"/>
        <v>3</v>
      </c>
      <c r="F14" s="15" t="str">
        <f t="shared" si="8"/>
        <v>B3</v>
      </c>
      <c r="G14" s="15">
        <f ca="1">VLOOKUP(C14,INDIRECT("'"&amp;D14&amp;" liga'!$A$1:$O$30"),15,FALSE)</f>
        <v>0</v>
      </c>
      <c r="N14" s="39"/>
      <c r="O14" s="36"/>
    </row>
    <row r="15" spans="1:15" ht="18.75" customHeight="1">
      <c r="A15" s="17" t="str">
        <f t="shared" si="7"/>
        <v>B4</v>
      </c>
      <c r="B15" s="17">
        <f t="shared" si="1"/>
        <v>14</v>
      </c>
      <c r="C15" s="18" t="s">
        <v>381</v>
      </c>
      <c r="D15" s="19" t="s">
        <v>22</v>
      </c>
      <c r="E15" s="15">
        <f t="shared" si="10"/>
        <v>4</v>
      </c>
      <c r="F15" s="15" t="str">
        <f t="shared" si="8"/>
        <v>B4</v>
      </c>
      <c r="G15" s="15">
        <f ca="1">VLOOKUP(C15,INDIRECT("'"&amp;D15&amp;" liga'!$A$1:$O$30"),15,FALSE)</f>
        <v>0</v>
      </c>
      <c r="N15" s="38"/>
      <c r="O15" s="36"/>
    </row>
    <row r="16" spans="1:15" ht="18.75" customHeight="1">
      <c r="A16" s="17" t="str">
        <f t="shared" si="7"/>
        <v>B5</v>
      </c>
      <c r="B16" s="17">
        <f t="shared" si="1"/>
        <v>15</v>
      </c>
      <c r="C16" s="18" t="s">
        <v>326</v>
      </c>
      <c r="D16" s="19" t="s">
        <v>22</v>
      </c>
      <c r="E16" s="15">
        <f t="shared" si="10"/>
        <v>5</v>
      </c>
      <c r="F16" s="15" t="str">
        <f t="shared" si="8"/>
        <v>B5</v>
      </c>
      <c r="G16" s="15">
        <f t="shared" ca="1" si="9"/>
        <v>0</v>
      </c>
      <c r="N16" s="39"/>
      <c r="O16" s="36"/>
    </row>
    <row r="17" spans="1:15" ht="18" customHeight="1">
      <c r="A17" s="17" t="str">
        <f t="shared" si="7"/>
        <v>B6</v>
      </c>
      <c r="B17" s="17">
        <f t="shared" si="1"/>
        <v>16</v>
      </c>
      <c r="C17" s="18" t="s">
        <v>585</v>
      </c>
      <c r="D17" s="19" t="s">
        <v>22</v>
      </c>
      <c r="E17" s="15">
        <f t="shared" si="10"/>
        <v>6</v>
      </c>
      <c r="F17" s="15" t="str">
        <f t="shared" si="8"/>
        <v>B6</v>
      </c>
      <c r="G17" s="15">
        <f t="shared" ca="1" si="9"/>
        <v>0</v>
      </c>
      <c r="N17" s="38"/>
      <c r="O17" s="36"/>
    </row>
    <row r="18" spans="1:15" ht="15" customHeight="1">
      <c r="A18" s="17" t="str">
        <f t="shared" si="7"/>
        <v>B7</v>
      </c>
      <c r="B18" s="17">
        <f t="shared" si="1"/>
        <v>17</v>
      </c>
      <c r="C18" s="18" t="s">
        <v>329</v>
      </c>
      <c r="D18" s="19" t="s">
        <v>22</v>
      </c>
      <c r="E18" s="15">
        <f t="shared" si="10"/>
        <v>7</v>
      </c>
      <c r="F18" s="15" t="str">
        <f t="shared" si="8"/>
        <v>B7</v>
      </c>
      <c r="G18" s="15">
        <f t="shared" ca="1" si="9"/>
        <v>0</v>
      </c>
      <c r="N18" s="38"/>
      <c r="O18" s="36"/>
    </row>
    <row r="19" spans="1:15" ht="16.25" customHeight="1">
      <c r="A19" s="17" t="str">
        <f t="shared" ref="A19" si="11">F19</f>
        <v>B8</v>
      </c>
      <c r="B19" s="17">
        <f t="shared" si="1"/>
        <v>18</v>
      </c>
      <c r="C19" s="18" t="s">
        <v>400</v>
      </c>
      <c r="D19" s="19" t="s">
        <v>22</v>
      </c>
      <c r="E19" s="15">
        <f t="shared" ref="E19" si="12">IF(D19=D18,E18+1,1)</f>
        <v>8</v>
      </c>
      <c r="F19" s="15" t="str">
        <f t="shared" ref="F19" si="13">CONCATENATE(D19,E19)</f>
        <v>B8</v>
      </c>
      <c r="G19" s="15">
        <f t="shared" ref="G19" ca="1" si="14">VLOOKUP(C19,INDIRECT("'"&amp;D19&amp;" liga'!$A$1:$O$30"),15,FALSE)</f>
        <v>0</v>
      </c>
      <c r="N19" s="39"/>
      <c r="O19" s="36"/>
    </row>
    <row r="20" spans="1:15" ht="3.5" customHeight="1">
      <c r="A20" s="17" t="str">
        <f t="shared" ref="A20" si="15">F20</f>
        <v>B9</v>
      </c>
      <c r="B20" s="17">
        <f t="shared" si="1"/>
        <v>19</v>
      </c>
      <c r="C20" s="18"/>
      <c r="D20" s="19" t="s">
        <v>22</v>
      </c>
      <c r="E20" s="15">
        <f t="shared" ref="E20" si="16">IF(D20=D19,E19+1,1)</f>
        <v>9</v>
      </c>
      <c r="F20" s="15" t="str">
        <f t="shared" ref="F20" si="17">CONCATENATE(D20,E20)</f>
        <v>B9</v>
      </c>
      <c r="G20" s="15">
        <f t="shared" ref="G20" ca="1" si="18">VLOOKUP(C20,INDIRECT("'"&amp;D20&amp;" liga'!$A$1:$O$30"),15,FALSE)</f>
        <v>0</v>
      </c>
      <c r="N20" s="38"/>
      <c r="O20" s="36"/>
    </row>
    <row r="21" spans="1:15" ht="14.5" hidden="1" customHeight="1">
      <c r="A21" s="17" t="str">
        <f t="shared" ref="A21" si="19">F21</f>
        <v>B10</v>
      </c>
      <c r="B21" s="17">
        <f t="shared" si="1"/>
        <v>20</v>
      </c>
      <c r="C21" s="18"/>
      <c r="D21" s="19" t="s">
        <v>22</v>
      </c>
      <c r="E21" s="15">
        <f t="shared" ref="E21" si="20">IF(D21=D20,E20+1,1)</f>
        <v>10</v>
      </c>
      <c r="F21" s="15" t="str">
        <f t="shared" ref="F21" si="21">CONCATENATE(D21,E21)</f>
        <v>B10</v>
      </c>
      <c r="G21" s="15">
        <f t="shared" ref="G21" ca="1" si="22">VLOOKUP(C21,INDIRECT("'"&amp;D21&amp;" liga'!$A$1:$O$30"),15,FALSE)</f>
        <v>0</v>
      </c>
      <c r="N21" s="39"/>
      <c r="O21" s="36"/>
    </row>
    <row r="22" spans="1:15" ht="18.75" customHeight="1">
      <c r="A22" s="17" t="str">
        <f t="shared" si="0"/>
        <v>C1</v>
      </c>
      <c r="B22" s="17">
        <f t="shared" si="1"/>
        <v>21</v>
      </c>
      <c r="C22" s="18" t="s">
        <v>371</v>
      </c>
      <c r="D22" s="19" t="s">
        <v>25</v>
      </c>
      <c r="E22" s="15">
        <f>IF(D22=D17,E17+1,1)</f>
        <v>1</v>
      </c>
      <c r="F22" s="15" t="str">
        <f t="shared" si="4"/>
        <v>C1</v>
      </c>
      <c r="G22" s="15">
        <f t="shared" ref="G22:G56" ca="1" si="23">VLOOKUP(C22,INDIRECT("'"&amp;D22&amp;" liga'!$A$1:$O$30"),15,FALSE)</f>
        <v>0</v>
      </c>
      <c r="N22" s="39"/>
      <c r="O22" s="36"/>
    </row>
    <row r="23" spans="1:15" ht="18.75" customHeight="1">
      <c r="A23" s="17" t="str">
        <f t="shared" si="0"/>
        <v>C2</v>
      </c>
      <c r="B23" s="17">
        <f t="shared" si="1"/>
        <v>22</v>
      </c>
      <c r="C23" s="18" t="s">
        <v>373</v>
      </c>
      <c r="D23" s="19" t="s">
        <v>25</v>
      </c>
      <c r="E23" s="15">
        <f t="shared" si="2"/>
        <v>2</v>
      </c>
      <c r="F23" s="15" t="str">
        <f t="shared" si="4"/>
        <v>C2</v>
      </c>
      <c r="G23" s="15">
        <f t="shared" ca="1" si="23"/>
        <v>0</v>
      </c>
      <c r="N23" s="38"/>
      <c r="O23" s="36"/>
    </row>
    <row r="24" spans="1:15" ht="18.75" customHeight="1">
      <c r="A24" s="17" t="str">
        <f t="shared" si="0"/>
        <v>C3</v>
      </c>
      <c r="B24" s="17">
        <f t="shared" si="1"/>
        <v>23</v>
      </c>
      <c r="C24" s="18" t="s">
        <v>394</v>
      </c>
      <c r="D24" s="19" t="s">
        <v>25</v>
      </c>
      <c r="E24" s="15">
        <f t="shared" si="2"/>
        <v>3</v>
      </c>
      <c r="F24" s="15" t="str">
        <f t="shared" si="4"/>
        <v>C3</v>
      </c>
      <c r="G24" s="15">
        <f t="shared" ca="1" si="23"/>
        <v>0</v>
      </c>
      <c r="N24" s="38"/>
      <c r="O24" s="36"/>
    </row>
    <row r="25" spans="1:15" ht="18.75" customHeight="1">
      <c r="A25" s="17" t="str">
        <f t="shared" si="0"/>
        <v>C4</v>
      </c>
      <c r="B25" s="17">
        <f t="shared" si="1"/>
        <v>24</v>
      </c>
      <c r="C25" s="18" t="s">
        <v>330</v>
      </c>
      <c r="D25" s="19" t="s">
        <v>25</v>
      </c>
      <c r="E25" s="15">
        <f t="shared" si="2"/>
        <v>4</v>
      </c>
      <c r="F25" s="15" t="str">
        <f t="shared" si="4"/>
        <v>C4</v>
      </c>
      <c r="G25" s="15">
        <f t="shared" ca="1" si="23"/>
        <v>0</v>
      </c>
      <c r="N25" s="39"/>
      <c r="O25" s="36"/>
    </row>
    <row r="26" spans="1:15" ht="18.75" customHeight="1">
      <c r="A26" s="17" t="str">
        <f t="shared" si="0"/>
        <v>C5</v>
      </c>
      <c r="B26" s="17">
        <f t="shared" si="1"/>
        <v>25</v>
      </c>
      <c r="C26" s="18" t="s">
        <v>360</v>
      </c>
      <c r="D26" s="19" t="s">
        <v>25</v>
      </c>
      <c r="E26" s="15">
        <f t="shared" si="2"/>
        <v>5</v>
      </c>
      <c r="F26" s="15" t="str">
        <f t="shared" si="4"/>
        <v>C5</v>
      </c>
      <c r="G26" s="15">
        <f ca="1">VLOOKUP(C26,INDIRECT("'"&amp;D26&amp;" liga'!$A$1:$O$30"),15,FALSE)</f>
        <v>0</v>
      </c>
      <c r="N26" s="39"/>
      <c r="O26" s="36"/>
    </row>
    <row r="27" spans="1:15" ht="19.25" customHeight="1">
      <c r="A27" s="17" t="str">
        <f t="shared" si="0"/>
        <v>C6</v>
      </c>
      <c r="B27" s="17">
        <f t="shared" si="1"/>
        <v>26</v>
      </c>
      <c r="C27" s="18" t="s">
        <v>377</v>
      </c>
      <c r="D27" s="19" t="s">
        <v>25</v>
      </c>
      <c r="E27" s="15">
        <f t="shared" si="2"/>
        <v>6</v>
      </c>
      <c r="F27" s="15" t="str">
        <f t="shared" si="4"/>
        <v>C6</v>
      </c>
      <c r="G27" s="15">
        <f t="shared" ca="1" si="23"/>
        <v>0</v>
      </c>
      <c r="N27" s="38"/>
      <c r="O27" s="36"/>
    </row>
    <row r="28" spans="1:15" ht="17.5" customHeight="1">
      <c r="A28" s="17" t="str">
        <f t="shared" si="0"/>
        <v>C7</v>
      </c>
      <c r="B28" s="17">
        <f t="shared" si="1"/>
        <v>27</v>
      </c>
      <c r="C28" s="18" t="s">
        <v>367</v>
      </c>
      <c r="D28" s="19" t="s">
        <v>25</v>
      </c>
      <c r="E28" s="15">
        <f>IF(D28=D27,E27+1,1)</f>
        <v>7</v>
      </c>
      <c r="F28" s="15" t="str">
        <f>CONCATENATE(D28,E28)</f>
        <v>C7</v>
      </c>
      <c r="G28" s="15">
        <f ca="1">VLOOKUP(C28,INDIRECT("'"&amp;D28&amp;" liga'!$A$1:$O$30"),15,FALSE)</f>
        <v>0</v>
      </c>
      <c r="N28" s="39"/>
      <c r="O28" s="36"/>
    </row>
    <row r="29" spans="1:15" ht="16.25" customHeight="1">
      <c r="A29" s="17" t="str">
        <f t="shared" si="0"/>
        <v>C8</v>
      </c>
      <c r="B29" s="17">
        <f t="shared" si="1"/>
        <v>28</v>
      </c>
      <c r="C29" s="18" t="s">
        <v>549</v>
      </c>
      <c r="D29" s="19" t="s">
        <v>25</v>
      </c>
      <c r="E29" s="15">
        <f>IF(D29=D28,E28+1,1)</f>
        <v>8</v>
      </c>
      <c r="F29" s="15" t="str">
        <f>CONCATENATE(D29,E29)</f>
        <v>C8</v>
      </c>
      <c r="G29" s="15">
        <f ca="1">VLOOKUP(C29,INDIRECT("'"&amp;D29&amp;" liga'!$A$1:$O$30"),15,FALSE)</f>
        <v>0</v>
      </c>
      <c r="N29" s="39"/>
      <c r="O29" s="36"/>
    </row>
    <row r="30" spans="1:15" ht="3.5" customHeight="1">
      <c r="A30" s="17" t="str">
        <f t="shared" si="0"/>
        <v>C9</v>
      </c>
      <c r="B30" s="17">
        <f t="shared" si="1"/>
        <v>29</v>
      </c>
      <c r="C30" s="28"/>
      <c r="D30" s="19" t="s">
        <v>25</v>
      </c>
      <c r="E30" s="15">
        <f>IF(D30=D29,E29+1,1)</f>
        <v>9</v>
      </c>
      <c r="F30" s="15" t="str">
        <f>CONCATENATE(D30,E30)</f>
        <v>C9</v>
      </c>
      <c r="G30" s="15">
        <f ca="1">VLOOKUP(C30,INDIRECT("'"&amp;D30&amp;" liga'!$A$1:$O$30"),15,FALSE)</f>
        <v>0</v>
      </c>
      <c r="N30" s="39"/>
      <c r="O30" s="36"/>
    </row>
    <row r="31" spans="1:15" ht="0.5" customHeight="1">
      <c r="A31" s="17" t="s">
        <v>422</v>
      </c>
      <c r="B31" s="17">
        <f t="shared" si="1"/>
        <v>30</v>
      </c>
      <c r="C31" s="18"/>
      <c r="D31" s="19" t="s">
        <v>25</v>
      </c>
      <c r="E31" s="15">
        <f>IF(D31=D29,E29+1,1)</f>
        <v>9</v>
      </c>
      <c r="F31" s="15" t="s">
        <v>422</v>
      </c>
      <c r="G31" s="15">
        <f ca="1">VLOOKUP(C31,INDIRECT("'"&amp;D31&amp;" liga'!$A$1:$O$30"),15,FALSE)</f>
        <v>0</v>
      </c>
      <c r="N31" s="38"/>
      <c r="O31" s="36"/>
    </row>
    <row r="32" spans="1:15" ht="1.25" customHeight="1">
      <c r="A32" s="17" t="s">
        <v>423</v>
      </c>
      <c r="B32" s="17">
        <f t="shared" si="1"/>
        <v>31</v>
      </c>
      <c r="C32" s="18"/>
      <c r="D32" s="19" t="s">
        <v>25</v>
      </c>
      <c r="E32" s="15">
        <f>IF(D32=D30,E30+1,1)</f>
        <v>10</v>
      </c>
      <c r="F32" s="15" t="s">
        <v>423</v>
      </c>
      <c r="G32" s="15">
        <f ca="1">VLOOKUP(C32,INDIRECT("'"&amp;D32&amp;" liga'!$A$1:$O$30"),15,FALSE)</f>
        <v>0</v>
      </c>
      <c r="N32" s="39"/>
      <c r="O32" s="36"/>
    </row>
    <row r="33" spans="1:15" ht="18.75" customHeight="1">
      <c r="A33" s="17" t="str">
        <f t="shared" si="0"/>
        <v>D1</v>
      </c>
      <c r="B33" s="17">
        <f t="shared" si="1"/>
        <v>32</v>
      </c>
      <c r="C33" s="18" t="s">
        <v>421</v>
      </c>
      <c r="D33" s="19" t="s">
        <v>26</v>
      </c>
      <c r="E33" s="15">
        <f>IF(D33=D28,E28+1,1)</f>
        <v>1</v>
      </c>
      <c r="F33" s="15" t="str">
        <f t="shared" si="4"/>
        <v>D1</v>
      </c>
      <c r="N33" s="39"/>
      <c r="O33" s="36"/>
    </row>
    <row r="34" spans="1:15" ht="18.75" customHeight="1">
      <c r="A34" s="17" t="str">
        <f t="shared" si="0"/>
        <v>D2</v>
      </c>
      <c r="B34" s="17">
        <f t="shared" si="1"/>
        <v>33</v>
      </c>
      <c r="C34" s="18" t="s">
        <v>407</v>
      </c>
      <c r="D34" s="19" t="s">
        <v>26</v>
      </c>
      <c r="E34" s="15">
        <f t="shared" si="2"/>
        <v>2</v>
      </c>
      <c r="F34" s="15" t="str">
        <f t="shared" si="4"/>
        <v>D2</v>
      </c>
      <c r="N34" s="39"/>
      <c r="O34" s="36"/>
    </row>
    <row r="35" spans="1:15" ht="18.75" customHeight="1">
      <c r="A35" s="17" t="str">
        <f t="shared" si="0"/>
        <v>D3</v>
      </c>
      <c r="B35" s="17">
        <f t="shared" si="1"/>
        <v>34</v>
      </c>
      <c r="C35" s="40" t="s">
        <v>370</v>
      </c>
      <c r="D35" s="19" t="s">
        <v>26</v>
      </c>
      <c r="E35" s="15">
        <f t="shared" si="2"/>
        <v>3</v>
      </c>
      <c r="F35" s="15" t="str">
        <f t="shared" si="4"/>
        <v>D3</v>
      </c>
      <c r="N35" s="39"/>
      <c r="O35" s="36"/>
    </row>
    <row r="36" spans="1:15" ht="18.5" customHeight="1">
      <c r="A36" s="17" t="str">
        <f t="shared" si="0"/>
        <v>D4</v>
      </c>
      <c r="B36" s="17">
        <f t="shared" si="1"/>
        <v>35</v>
      </c>
      <c r="C36" s="18" t="s">
        <v>642</v>
      </c>
      <c r="D36" s="19" t="s">
        <v>26</v>
      </c>
      <c r="E36" s="15">
        <f t="shared" si="2"/>
        <v>4</v>
      </c>
      <c r="F36" s="15" t="str">
        <f t="shared" si="4"/>
        <v>D4</v>
      </c>
      <c r="N36" s="39"/>
      <c r="O36" s="36"/>
    </row>
    <row r="37" spans="1:15" ht="18.75" customHeight="1">
      <c r="A37" s="17" t="str">
        <f t="shared" si="0"/>
        <v>D5</v>
      </c>
      <c r="B37" s="17">
        <f t="shared" si="1"/>
        <v>36</v>
      </c>
      <c r="C37" s="18" t="s">
        <v>641</v>
      </c>
      <c r="D37" s="19" t="s">
        <v>26</v>
      </c>
      <c r="E37" s="15">
        <f t="shared" si="2"/>
        <v>5</v>
      </c>
      <c r="F37" s="15" t="str">
        <f t="shared" si="4"/>
        <v>D5</v>
      </c>
      <c r="N37" s="38"/>
      <c r="O37" s="36"/>
    </row>
    <row r="38" spans="1:15" ht="15.5" customHeight="1">
      <c r="A38" s="17" t="str">
        <f t="shared" ref="A38:A43" si="24">F38</f>
        <v>D6</v>
      </c>
      <c r="B38" s="17">
        <f t="shared" si="1"/>
        <v>37</v>
      </c>
      <c r="C38" s="18" t="s">
        <v>575</v>
      </c>
      <c r="D38" s="19" t="s">
        <v>26</v>
      </c>
      <c r="E38" s="15">
        <f t="shared" ref="E38:E43" si="25">IF(D38=D37,E37+1,1)</f>
        <v>6</v>
      </c>
      <c r="F38" s="15" t="str">
        <f t="shared" ref="F38:F43" si="26">CONCATENATE(D38,E38)</f>
        <v>D6</v>
      </c>
      <c r="N38" s="38"/>
      <c r="O38" s="36"/>
    </row>
    <row r="39" spans="1:15" ht="14.5" customHeight="1">
      <c r="A39" s="17" t="str">
        <f t="shared" si="24"/>
        <v>D7</v>
      </c>
      <c r="B39" s="17">
        <f t="shared" si="1"/>
        <v>38</v>
      </c>
      <c r="C39" s="18" t="s">
        <v>364</v>
      </c>
      <c r="D39" s="19" t="s">
        <v>26</v>
      </c>
      <c r="E39" s="15">
        <f t="shared" si="25"/>
        <v>7</v>
      </c>
      <c r="F39" s="15" t="str">
        <f t="shared" si="26"/>
        <v>D7</v>
      </c>
      <c r="N39" s="39"/>
      <c r="O39" s="36"/>
    </row>
    <row r="40" spans="1:15" ht="14.5" customHeight="1">
      <c r="A40" s="17" t="str">
        <f t="shared" si="24"/>
        <v>D8</v>
      </c>
      <c r="B40" s="17">
        <f t="shared" si="1"/>
        <v>39</v>
      </c>
      <c r="C40" s="40" t="s">
        <v>586</v>
      </c>
      <c r="D40" s="19" t="s">
        <v>26</v>
      </c>
      <c r="E40" s="15">
        <f t="shared" si="25"/>
        <v>8</v>
      </c>
      <c r="F40" s="15" t="str">
        <f t="shared" si="26"/>
        <v>D8</v>
      </c>
      <c r="N40" s="39"/>
      <c r="O40" s="36"/>
    </row>
    <row r="41" spans="1:15" ht="3" customHeight="1">
      <c r="A41" s="17" t="str">
        <f t="shared" si="24"/>
        <v>D9</v>
      </c>
      <c r="B41" s="17">
        <f t="shared" si="1"/>
        <v>40</v>
      </c>
      <c r="C41" s="28"/>
      <c r="D41" s="19" t="s">
        <v>26</v>
      </c>
      <c r="E41" s="15">
        <f t="shared" si="25"/>
        <v>9</v>
      </c>
      <c r="F41" s="15" t="str">
        <f t="shared" si="26"/>
        <v>D9</v>
      </c>
      <c r="N41" s="39"/>
      <c r="O41" s="36"/>
    </row>
    <row r="42" spans="1:15" ht="15" hidden="1" customHeight="1">
      <c r="A42" s="17" t="str">
        <f t="shared" si="24"/>
        <v>D10</v>
      </c>
      <c r="B42" s="17">
        <f t="shared" si="1"/>
        <v>41</v>
      </c>
      <c r="C42" s="40"/>
      <c r="D42" s="19" t="s">
        <v>26</v>
      </c>
      <c r="E42" s="15">
        <f t="shared" si="25"/>
        <v>10</v>
      </c>
      <c r="F42" s="15" t="str">
        <f t="shared" si="26"/>
        <v>D10</v>
      </c>
      <c r="N42" s="39"/>
      <c r="O42" s="44"/>
    </row>
    <row r="43" spans="1:15" ht="17.5" hidden="1" customHeight="1">
      <c r="A43" s="17" t="str">
        <f t="shared" si="24"/>
        <v>D11</v>
      </c>
      <c r="B43" s="17">
        <f t="shared" si="1"/>
        <v>42</v>
      </c>
      <c r="C43" s="40"/>
      <c r="D43" s="19" t="s">
        <v>26</v>
      </c>
      <c r="E43" s="15">
        <f t="shared" si="25"/>
        <v>11</v>
      </c>
      <c r="F43" s="15" t="str">
        <f t="shared" si="26"/>
        <v>D11</v>
      </c>
      <c r="N43" s="39"/>
      <c r="O43" s="44"/>
    </row>
    <row r="44" spans="1:15" ht="20.5" customHeight="1">
      <c r="A44" s="17" t="str">
        <f t="shared" ref="A44:A81" si="27">F44</f>
        <v>E1</v>
      </c>
      <c r="B44" s="17">
        <f t="shared" si="1"/>
        <v>43</v>
      </c>
      <c r="C44" s="18" t="s">
        <v>630</v>
      </c>
      <c r="D44" s="19" t="s">
        <v>28</v>
      </c>
      <c r="E44" s="15">
        <f t="shared" si="2"/>
        <v>1</v>
      </c>
      <c r="F44" s="15" t="str">
        <f t="shared" si="4"/>
        <v>E1</v>
      </c>
      <c r="G44" s="15">
        <f t="shared" ca="1" si="23"/>
        <v>4</v>
      </c>
      <c r="N44" s="38"/>
      <c r="O44" s="36"/>
    </row>
    <row r="45" spans="1:15" ht="19.25" customHeight="1">
      <c r="A45" s="17" t="str">
        <f t="shared" si="27"/>
        <v>E2</v>
      </c>
      <c r="B45" s="17">
        <f t="shared" si="1"/>
        <v>44</v>
      </c>
      <c r="C45" s="28" t="s">
        <v>653</v>
      </c>
      <c r="D45" s="19" t="s">
        <v>28</v>
      </c>
      <c r="E45" s="15">
        <f t="shared" si="2"/>
        <v>2</v>
      </c>
      <c r="F45" s="15" t="str">
        <f t="shared" si="4"/>
        <v>E2</v>
      </c>
      <c r="G45" s="15">
        <f t="shared" ca="1" si="23"/>
        <v>1</v>
      </c>
      <c r="N45" s="39"/>
      <c r="O45" s="36"/>
    </row>
    <row r="46" spans="1:15" ht="19.25" customHeight="1">
      <c r="A46" s="17" t="str">
        <f t="shared" si="27"/>
        <v>E3</v>
      </c>
      <c r="B46" s="17">
        <f t="shared" si="1"/>
        <v>45</v>
      </c>
      <c r="C46" s="28" t="s">
        <v>629</v>
      </c>
      <c r="D46" s="19" t="s">
        <v>28</v>
      </c>
      <c r="E46" s="15">
        <f t="shared" si="2"/>
        <v>3</v>
      </c>
      <c r="F46" s="15" t="str">
        <f t="shared" si="4"/>
        <v>E3</v>
      </c>
      <c r="G46" s="15">
        <f t="shared" ca="1" si="23"/>
        <v>2</v>
      </c>
      <c r="N46" s="38"/>
      <c r="O46" s="36"/>
    </row>
    <row r="47" spans="1:15" ht="20.5" customHeight="1">
      <c r="A47" s="17" t="str">
        <f t="shared" si="27"/>
        <v>E4</v>
      </c>
      <c r="B47" s="17">
        <f t="shared" si="1"/>
        <v>46</v>
      </c>
      <c r="C47" s="28" t="s">
        <v>593</v>
      </c>
      <c r="D47" s="19" t="s">
        <v>28</v>
      </c>
      <c r="E47" s="15">
        <f t="shared" si="2"/>
        <v>4</v>
      </c>
      <c r="F47" s="15" t="str">
        <f t="shared" si="4"/>
        <v>E4</v>
      </c>
      <c r="G47" s="15">
        <f t="shared" ca="1" si="23"/>
        <v>6</v>
      </c>
      <c r="N47" s="39"/>
      <c r="O47" s="36"/>
    </row>
    <row r="48" spans="1:15" ht="19.25" customHeight="1">
      <c r="A48" s="17" t="str">
        <f t="shared" si="27"/>
        <v>E5</v>
      </c>
      <c r="B48" s="17">
        <f t="shared" si="1"/>
        <v>47</v>
      </c>
      <c r="C48" s="28" t="s">
        <v>628</v>
      </c>
      <c r="D48" s="19" t="s">
        <v>28</v>
      </c>
      <c r="E48" s="15">
        <f t="shared" si="2"/>
        <v>5</v>
      </c>
      <c r="F48" s="15" t="str">
        <f t="shared" si="4"/>
        <v>E5</v>
      </c>
      <c r="G48" s="15">
        <f t="shared" ca="1" si="23"/>
        <v>5</v>
      </c>
      <c r="N48" s="39"/>
      <c r="O48" s="36"/>
    </row>
    <row r="49" spans="1:15" ht="16.75" customHeight="1">
      <c r="A49" s="17" t="str">
        <f t="shared" ref="A49" si="28">F49</f>
        <v>E6</v>
      </c>
      <c r="B49" s="17">
        <f t="shared" si="1"/>
        <v>48</v>
      </c>
      <c r="C49" s="28" t="s">
        <v>626</v>
      </c>
      <c r="D49" s="19" t="s">
        <v>28</v>
      </c>
      <c r="E49" s="15">
        <f t="shared" ref="E49" si="29">IF(D49=D48,E48+1,1)</f>
        <v>6</v>
      </c>
      <c r="F49" s="15" t="str">
        <f t="shared" ref="F49" si="30">CONCATENATE(D49,E49)</f>
        <v>E6</v>
      </c>
      <c r="G49" s="15">
        <f t="shared" ref="G49" ca="1" si="31">VLOOKUP(C49,INDIRECT("'"&amp;D49&amp;" liga'!$A$1:$O$30"),15,FALSE)</f>
        <v>9</v>
      </c>
      <c r="N49" s="39"/>
      <c r="O49" s="36"/>
    </row>
    <row r="50" spans="1:15" ht="19.75" customHeight="1">
      <c r="A50" s="17" t="str">
        <f>F50</f>
        <v>E7</v>
      </c>
      <c r="B50" s="17">
        <f t="shared" si="1"/>
        <v>49</v>
      </c>
      <c r="C50" s="28" t="s">
        <v>669</v>
      </c>
      <c r="D50" s="19" t="s">
        <v>28</v>
      </c>
      <c r="E50" s="15">
        <f t="shared" ref="E50" si="32">IF(D50=D49,E49+1,1)</f>
        <v>7</v>
      </c>
      <c r="F50" s="15" t="str">
        <f t="shared" ref="F50" si="33">CONCATENATE(D50,E50)</f>
        <v>E7</v>
      </c>
      <c r="G50" s="15">
        <f t="shared" ref="G50" ca="1" si="34">VLOOKUP(C50,INDIRECT("'"&amp;D50&amp;" liga'!$A$1:$O$30"),15,FALSE)</f>
        <v>7</v>
      </c>
      <c r="N50" s="39"/>
      <c r="O50" s="36"/>
    </row>
    <row r="51" spans="1:15" ht="16.75" customHeight="1">
      <c r="A51" s="17" t="str">
        <f t="shared" ref="A51:A52" si="35">F51</f>
        <v>E8</v>
      </c>
      <c r="B51" s="17">
        <f t="shared" si="1"/>
        <v>50</v>
      </c>
      <c r="C51" s="28" t="s">
        <v>678</v>
      </c>
      <c r="D51" s="19" t="s">
        <v>28</v>
      </c>
      <c r="E51" s="15">
        <f t="shared" ref="E51:E52" si="36">IF(D51=D50,E50+1,1)</f>
        <v>8</v>
      </c>
      <c r="F51" s="15" t="str">
        <f t="shared" ref="F51:F52" si="37">CONCATENATE(D51,E51)</f>
        <v>E8</v>
      </c>
      <c r="G51" s="15">
        <f t="shared" ref="G51:G52" ca="1" si="38">VLOOKUP(C51,INDIRECT("'"&amp;D51&amp;" liga'!$A$1:$O$30"),15,FALSE)</f>
        <v>3</v>
      </c>
      <c r="N51" s="39"/>
      <c r="O51" s="36"/>
    </row>
    <row r="52" spans="1:15" ht="16.75" customHeight="1">
      <c r="A52" s="17" t="str">
        <f t="shared" si="35"/>
        <v>E9</v>
      </c>
      <c r="B52" s="17">
        <f t="shared" si="1"/>
        <v>51</v>
      </c>
      <c r="C52" s="28" t="s">
        <v>376</v>
      </c>
      <c r="D52" s="19" t="s">
        <v>28</v>
      </c>
      <c r="E52" s="15">
        <f t="shared" si="36"/>
        <v>9</v>
      </c>
      <c r="F52" s="15" t="str">
        <f t="shared" si="37"/>
        <v>E9</v>
      </c>
      <c r="G52" s="15">
        <f t="shared" ca="1" si="38"/>
        <v>8</v>
      </c>
      <c r="N52" s="38"/>
      <c r="O52" s="36"/>
    </row>
    <row r="53" spans="1:15" ht="16.75" customHeight="1">
      <c r="A53" s="17" t="str">
        <f t="shared" si="27"/>
        <v>F1</v>
      </c>
      <c r="B53" s="17">
        <f t="shared" si="1"/>
        <v>52</v>
      </c>
      <c r="C53" s="18"/>
      <c r="D53" s="19" t="s">
        <v>30</v>
      </c>
      <c r="E53" s="15">
        <f t="shared" si="2"/>
        <v>1</v>
      </c>
      <c r="F53" s="15" t="str">
        <f t="shared" si="4"/>
        <v>F1</v>
      </c>
      <c r="G53" s="15">
        <f t="shared" ca="1" si="23"/>
        <v>1</v>
      </c>
      <c r="N53" s="38"/>
      <c r="O53" s="36"/>
    </row>
    <row r="54" spans="1:15" ht="18.5" customHeight="1">
      <c r="A54" s="17" t="str">
        <f t="shared" si="27"/>
        <v>F2</v>
      </c>
      <c r="B54" s="17">
        <f t="shared" si="1"/>
        <v>53</v>
      </c>
      <c r="C54" s="18"/>
      <c r="D54" s="19" t="s">
        <v>30</v>
      </c>
      <c r="E54" s="15">
        <f t="shared" si="2"/>
        <v>2</v>
      </c>
      <c r="F54" s="15" t="str">
        <f t="shared" si="4"/>
        <v>F2</v>
      </c>
      <c r="G54" s="15">
        <f t="shared" ca="1" si="23"/>
        <v>1</v>
      </c>
      <c r="N54" s="39"/>
      <c r="O54" s="36"/>
    </row>
    <row r="55" spans="1:15" ht="20.5" customHeight="1">
      <c r="A55" s="17" t="str">
        <f t="shared" si="27"/>
        <v>F3</v>
      </c>
      <c r="B55" s="17">
        <f t="shared" si="1"/>
        <v>54</v>
      </c>
      <c r="C55" s="18"/>
      <c r="D55" s="19" t="s">
        <v>30</v>
      </c>
      <c r="E55" s="15">
        <f t="shared" si="2"/>
        <v>3</v>
      </c>
      <c r="F55" s="15" t="str">
        <f t="shared" si="4"/>
        <v>F3</v>
      </c>
      <c r="G55" s="15">
        <f t="shared" ca="1" si="23"/>
        <v>1</v>
      </c>
      <c r="N55" s="39"/>
      <c r="O55" s="36"/>
    </row>
    <row r="56" spans="1:15" ht="18" customHeight="1">
      <c r="A56" s="17" t="str">
        <f t="shared" si="27"/>
        <v>F4</v>
      </c>
      <c r="B56" s="17">
        <f t="shared" si="1"/>
        <v>55</v>
      </c>
      <c r="C56" s="18"/>
      <c r="D56" s="19" t="s">
        <v>30</v>
      </c>
      <c r="E56" s="15">
        <f t="shared" si="2"/>
        <v>4</v>
      </c>
      <c r="F56" s="15" t="str">
        <f t="shared" si="4"/>
        <v>F4</v>
      </c>
      <c r="G56" s="15">
        <f t="shared" ca="1" si="23"/>
        <v>1</v>
      </c>
      <c r="N56" s="39"/>
      <c r="O56" s="36"/>
    </row>
    <row r="57" spans="1:15" ht="16.75" customHeight="1">
      <c r="A57" s="17" t="str">
        <f t="shared" si="27"/>
        <v>F5</v>
      </c>
      <c r="B57" s="17">
        <f t="shared" si="1"/>
        <v>56</v>
      </c>
      <c r="C57" s="18"/>
      <c r="D57" s="19" t="s">
        <v>30</v>
      </c>
      <c r="E57" s="15">
        <f t="shared" si="2"/>
        <v>5</v>
      </c>
      <c r="F57" s="15" t="str">
        <f t="shared" si="4"/>
        <v>F5</v>
      </c>
      <c r="G57" s="15">
        <f t="shared" ref="G57:G87" ca="1" si="39">VLOOKUP(C57,INDIRECT("'"&amp;D57&amp;" liga'!$A$1:$O$30"),15,FALSE)</f>
        <v>1</v>
      </c>
      <c r="N57" s="39"/>
      <c r="O57" s="36"/>
    </row>
    <row r="58" spans="1:15" ht="18.5" customHeight="1">
      <c r="A58" s="17" t="str">
        <f t="shared" si="27"/>
        <v>F6</v>
      </c>
      <c r="B58" s="17">
        <f t="shared" si="1"/>
        <v>57</v>
      </c>
      <c r="C58" s="18"/>
      <c r="D58" s="19" t="s">
        <v>30</v>
      </c>
      <c r="E58" s="15">
        <f t="shared" si="2"/>
        <v>6</v>
      </c>
      <c r="F58" s="15" t="str">
        <f t="shared" si="4"/>
        <v>F6</v>
      </c>
      <c r="G58" s="15">
        <f t="shared" ca="1" si="39"/>
        <v>1</v>
      </c>
      <c r="N58" s="39"/>
      <c r="O58" s="36"/>
    </row>
    <row r="59" spans="1:15" ht="3" customHeight="1">
      <c r="A59" s="17" t="str">
        <f t="shared" si="27"/>
        <v>F7</v>
      </c>
      <c r="B59" s="17">
        <f t="shared" si="1"/>
        <v>58</v>
      </c>
      <c r="C59" s="18"/>
      <c r="D59" s="19" t="s">
        <v>30</v>
      </c>
      <c r="E59" s="15">
        <f t="shared" si="2"/>
        <v>7</v>
      </c>
      <c r="F59" s="15" t="str">
        <f t="shared" si="4"/>
        <v>F7</v>
      </c>
      <c r="G59" s="15">
        <f t="shared" ca="1" si="39"/>
        <v>1</v>
      </c>
      <c r="H59" s="34"/>
      <c r="N59" s="39"/>
      <c r="O59" s="36"/>
    </row>
    <row r="60" spans="1:15" ht="14.5" hidden="1" customHeight="1">
      <c r="A60" s="17" t="str">
        <f t="shared" si="27"/>
        <v>F8</v>
      </c>
      <c r="B60" s="17">
        <f t="shared" si="1"/>
        <v>59</v>
      </c>
      <c r="C60" s="18"/>
      <c r="D60" s="19" t="s">
        <v>30</v>
      </c>
      <c r="E60" s="15">
        <f t="shared" si="2"/>
        <v>8</v>
      </c>
      <c r="F60" s="15" t="str">
        <f t="shared" si="4"/>
        <v>F8</v>
      </c>
      <c r="G60" s="15">
        <f t="shared" ca="1" si="39"/>
        <v>1</v>
      </c>
      <c r="N60" s="39"/>
      <c r="O60" s="36"/>
    </row>
    <row r="61" spans="1:15" ht="14.5" customHeight="1">
      <c r="A61" s="17" t="s">
        <v>446</v>
      </c>
      <c r="B61" s="17">
        <f t="shared" si="1"/>
        <v>60</v>
      </c>
      <c r="C61" s="18"/>
      <c r="D61" s="19" t="s">
        <v>60</v>
      </c>
      <c r="E61" s="15">
        <f t="shared" si="2"/>
        <v>1</v>
      </c>
      <c r="F61" s="15" t="str">
        <f t="shared" si="4"/>
        <v>Z1</v>
      </c>
      <c r="G61" s="15" t="e">
        <f t="shared" ca="1" si="39"/>
        <v>#REF!</v>
      </c>
      <c r="N61" s="39"/>
      <c r="O61" s="36"/>
    </row>
    <row r="62" spans="1:15" ht="14.5" customHeight="1">
      <c r="A62" s="17" t="s">
        <v>447</v>
      </c>
      <c r="B62" s="17">
        <f t="shared" si="1"/>
        <v>61</v>
      </c>
      <c r="C62" s="18"/>
      <c r="D62" s="19" t="s">
        <v>60</v>
      </c>
      <c r="E62" s="15">
        <f t="shared" si="2"/>
        <v>2</v>
      </c>
      <c r="F62" s="15" t="str">
        <f t="shared" si="4"/>
        <v>Z2</v>
      </c>
      <c r="G62" s="15" t="e">
        <f t="shared" ca="1" si="39"/>
        <v>#REF!</v>
      </c>
      <c r="N62" s="39"/>
      <c r="O62" s="36"/>
    </row>
    <row r="63" spans="1:15" ht="17.5" customHeight="1">
      <c r="A63" s="17" t="s">
        <v>448</v>
      </c>
      <c r="B63" s="17">
        <f t="shared" si="1"/>
        <v>62</v>
      </c>
      <c r="C63" s="18"/>
      <c r="D63" s="19" t="s">
        <v>60</v>
      </c>
      <c r="E63" s="15">
        <f t="shared" si="2"/>
        <v>3</v>
      </c>
      <c r="F63" s="15" t="str">
        <f t="shared" si="4"/>
        <v>Z3</v>
      </c>
      <c r="G63" s="15" t="e">
        <f t="shared" ca="1" si="39"/>
        <v>#REF!</v>
      </c>
      <c r="N63" s="39"/>
      <c r="O63" s="36"/>
    </row>
    <row r="64" spans="1:15" ht="16.25" customHeight="1">
      <c r="A64" s="17" t="s">
        <v>449</v>
      </c>
      <c r="B64" s="17">
        <f t="shared" si="1"/>
        <v>63</v>
      </c>
      <c r="C64" s="18"/>
      <c r="D64" s="19" t="s">
        <v>60</v>
      </c>
      <c r="E64" s="15">
        <f t="shared" si="2"/>
        <v>4</v>
      </c>
      <c r="F64" s="15" t="str">
        <f t="shared" si="4"/>
        <v>Z4</v>
      </c>
      <c r="G64" s="15" t="e">
        <f t="shared" ca="1" si="39"/>
        <v>#REF!</v>
      </c>
      <c r="N64" s="39"/>
      <c r="O64" s="36"/>
    </row>
    <row r="65" spans="1:15" ht="13.75" customHeight="1">
      <c r="A65" s="17" t="s">
        <v>450</v>
      </c>
      <c r="B65" s="17">
        <f t="shared" si="1"/>
        <v>64</v>
      </c>
      <c r="C65" s="18"/>
      <c r="D65" s="19" t="s">
        <v>60</v>
      </c>
      <c r="E65" s="15">
        <f t="shared" si="2"/>
        <v>5</v>
      </c>
      <c r="F65" s="15" t="str">
        <f t="shared" si="4"/>
        <v>Z5</v>
      </c>
      <c r="G65" s="15" t="e">
        <f t="shared" ca="1" si="39"/>
        <v>#REF!</v>
      </c>
      <c r="N65" s="39"/>
      <c r="O65" s="44"/>
    </row>
    <row r="66" spans="1:15" ht="16.25" customHeight="1">
      <c r="A66" s="17" t="s">
        <v>451</v>
      </c>
      <c r="B66" s="17">
        <f t="shared" si="1"/>
        <v>65</v>
      </c>
      <c r="C66" s="18"/>
      <c r="D66" s="19" t="s">
        <v>60</v>
      </c>
      <c r="E66" s="15">
        <f t="shared" si="2"/>
        <v>6</v>
      </c>
      <c r="F66" s="15" t="str">
        <f t="shared" si="4"/>
        <v>Z6</v>
      </c>
      <c r="G66" s="15" t="e">
        <f t="shared" ca="1" si="39"/>
        <v>#REF!</v>
      </c>
      <c r="N66" s="39"/>
      <c r="O66" s="36"/>
    </row>
    <row r="67" spans="1:15" ht="4.75" hidden="1" customHeight="1">
      <c r="A67" s="17" t="s">
        <v>452</v>
      </c>
      <c r="B67" s="17">
        <f t="shared" si="1"/>
        <v>66</v>
      </c>
      <c r="C67" s="18"/>
      <c r="D67" s="19" t="s">
        <v>60</v>
      </c>
      <c r="E67" s="15">
        <f t="shared" si="2"/>
        <v>7</v>
      </c>
      <c r="F67" s="15" t="str">
        <f t="shared" si="4"/>
        <v>Z7</v>
      </c>
      <c r="G67" s="15" t="e">
        <f t="shared" ca="1" si="39"/>
        <v>#REF!</v>
      </c>
    </row>
    <row r="68" spans="1:15" ht="12" hidden="1" customHeight="1">
      <c r="A68" s="17" t="s">
        <v>453</v>
      </c>
      <c r="B68" s="17">
        <f t="shared" si="1"/>
        <v>67</v>
      </c>
      <c r="C68" s="18"/>
      <c r="D68" s="19" t="s">
        <v>60</v>
      </c>
      <c r="E68" s="15">
        <f t="shared" si="2"/>
        <v>8</v>
      </c>
      <c r="F68" s="15" t="str">
        <f t="shared" si="4"/>
        <v>Z8</v>
      </c>
      <c r="G68" s="15" t="e">
        <f t="shared" ca="1" si="39"/>
        <v>#REF!</v>
      </c>
    </row>
    <row r="69" spans="1:15" ht="3.5" hidden="1" customHeight="1">
      <c r="A69" s="17" t="str">
        <f t="shared" si="27"/>
        <v>Z9</v>
      </c>
      <c r="B69" s="17">
        <f t="shared" si="1"/>
        <v>68</v>
      </c>
      <c r="C69" s="18"/>
      <c r="D69" s="19" t="s">
        <v>60</v>
      </c>
      <c r="E69" s="15">
        <f t="shared" si="2"/>
        <v>9</v>
      </c>
      <c r="F69" s="15" t="str">
        <f t="shared" si="4"/>
        <v>Z9</v>
      </c>
      <c r="G69" s="15" t="e">
        <f t="shared" ca="1" si="39"/>
        <v>#REF!</v>
      </c>
    </row>
    <row r="70" spans="1:15" ht="12" hidden="1" customHeight="1">
      <c r="A70" s="17" t="str">
        <f t="shared" si="27"/>
        <v>Z10</v>
      </c>
      <c r="B70" s="17">
        <f t="shared" si="1"/>
        <v>69</v>
      </c>
      <c r="C70" s="18"/>
      <c r="D70" s="19" t="s">
        <v>60</v>
      </c>
      <c r="E70" s="15">
        <f t="shared" si="2"/>
        <v>10</v>
      </c>
      <c r="F70" s="15" t="str">
        <f t="shared" si="4"/>
        <v>Z10</v>
      </c>
      <c r="G70" s="15" t="e">
        <f t="shared" ca="1" si="39"/>
        <v>#REF!</v>
      </c>
    </row>
    <row r="71" spans="1:15" ht="12" hidden="1" customHeight="1">
      <c r="A71" s="17" t="str">
        <f t="shared" si="27"/>
        <v>Z11</v>
      </c>
      <c r="B71" s="17">
        <f t="shared" si="1"/>
        <v>70</v>
      </c>
      <c r="C71" s="18"/>
      <c r="D71" s="19" t="s">
        <v>60</v>
      </c>
      <c r="E71" s="15">
        <f t="shared" si="2"/>
        <v>11</v>
      </c>
      <c r="F71" s="15" t="str">
        <f t="shared" si="4"/>
        <v>Z11</v>
      </c>
      <c r="G71" s="15" t="e">
        <f t="shared" ca="1" si="39"/>
        <v>#REF!</v>
      </c>
    </row>
    <row r="72" spans="1:15" ht="12" hidden="1" customHeight="1">
      <c r="A72" s="17" t="str">
        <f t="shared" si="27"/>
        <v>Z12</v>
      </c>
      <c r="B72" s="17">
        <f t="shared" si="1"/>
        <v>71</v>
      </c>
      <c r="C72" s="18"/>
      <c r="D72" s="19" t="s">
        <v>60</v>
      </c>
      <c r="E72" s="15">
        <f t="shared" si="2"/>
        <v>12</v>
      </c>
      <c r="F72" s="15" t="str">
        <f t="shared" si="4"/>
        <v>Z12</v>
      </c>
      <c r="G72" s="15" t="e">
        <f t="shared" ca="1" si="39"/>
        <v>#REF!</v>
      </c>
    </row>
    <row r="73" spans="1:15" ht="12" hidden="1" customHeight="1">
      <c r="A73" s="17" t="str">
        <f t="shared" si="27"/>
        <v>Z13</v>
      </c>
      <c r="B73" s="17">
        <f t="shared" si="1"/>
        <v>72</v>
      </c>
      <c r="C73" s="18"/>
      <c r="D73" s="19" t="s">
        <v>60</v>
      </c>
      <c r="E73" s="15">
        <f t="shared" si="2"/>
        <v>13</v>
      </c>
      <c r="F73" s="15" t="str">
        <f t="shared" si="4"/>
        <v>Z13</v>
      </c>
      <c r="G73" s="15" t="e">
        <f t="shared" ca="1" si="39"/>
        <v>#REF!</v>
      </c>
    </row>
    <row r="74" spans="1:15" ht="12" hidden="1" customHeight="1">
      <c r="A74" s="17" t="str">
        <f t="shared" si="27"/>
        <v>Z14</v>
      </c>
      <c r="B74" s="17">
        <f t="shared" si="1"/>
        <v>73</v>
      </c>
      <c r="C74" s="18" t="s">
        <v>177</v>
      </c>
      <c r="D74" s="19" t="s">
        <v>60</v>
      </c>
      <c r="E74" s="15">
        <f t="shared" si="2"/>
        <v>14</v>
      </c>
      <c r="F74" s="15" t="str">
        <f t="shared" si="4"/>
        <v>Z14</v>
      </c>
      <c r="G74" s="15" t="e">
        <f t="shared" ca="1" si="39"/>
        <v>#REF!</v>
      </c>
    </row>
    <row r="75" spans="1:15" ht="12" hidden="1" customHeight="1">
      <c r="A75" s="17" t="str">
        <f t="shared" si="27"/>
        <v>Z15</v>
      </c>
      <c r="B75" s="17">
        <f t="shared" si="1"/>
        <v>74</v>
      </c>
      <c r="C75" s="18" t="s">
        <v>97</v>
      </c>
      <c r="D75" s="19" t="s">
        <v>60</v>
      </c>
      <c r="E75" s="15">
        <f t="shared" si="2"/>
        <v>15</v>
      </c>
      <c r="F75" s="15" t="str">
        <f t="shared" si="4"/>
        <v>Z15</v>
      </c>
      <c r="G75" s="15" t="e">
        <f t="shared" ca="1" si="39"/>
        <v>#REF!</v>
      </c>
    </row>
    <row r="76" spans="1:15" ht="12" hidden="1" customHeight="1">
      <c r="A76" s="17" t="str">
        <f t="shared" si="27"/>
        <v>Z16</v>
      </c>
      <c r="B76" s="17">
        <f t="shared" si="1"/>
        <v>75</v>
      </c>
      <c r="C76" s="18" t="s">
        <v>171</v>
      </c>
      <c r="D76" s="19" t="s">
        <v>60</v>
      </c>
      <c r="E76" s="15">
        <f t="shared" si="2"/>
        <v>16</v>
      </c>
      <c r="F76" s="15" t="str">
        <f t="shared" si="4"/>
        <v>Z16</v>
      </c>
      <c r="G76" s="15" t="e">
        <f t="shared" ca="1" si="39"/>
        <v>#REF!</v>
      </c>
      <c r="H76" s="16" t="s">
        <v>173</v>
      </c>
    </row>
    <row r="77" spans="1:15" ht="12" hidden="1" customHeight="1">
      <c r="A77" s="17" t="str">
        <f t="shared" si="27"/>
        <v>Z17</v>
      </c>
      <c r="B77" s="17">
        <f t="shared" si="1"/>
        <v>76</v>
      </c>
      <c r="C77" s="18" t="s">
        <v>46</v>
      </c>
      <c r="D77" s="19" t="s">
        <v>60</v>
      </c>
      <c r="E77" s="15">
        <f t="shared" si="2"/>
        <v>17</v>
      </c>
      <c r="F77" s="15" t="str">
        <f t="shared" si="4"/>
        <v>Z17</v>
      </c>
      <c r="G77" s="15" t="e">
        <f t="shared" ca="1" si="39"/>
        <v>#REF!</v>
      </c>
    </row>
    <row r="78" spans="1:15" ht="10.75" hidden="1" customHeight="1">
      <c r="A78" s="17" t="str">
        <f t="shared" si="27"/>
        <v>Z18</v>
      </c>
      <c r="B78" s="17">
        <f t="shared" si="1"/>
        <v>77</v>
      </c>
      <c r="C78" s="18" t="s">
        <v>272</v>
      </c>
      <c r="D78" s="19" t="s">
        <v>60</v>
      </c>
      <c r="E78" s="15">
        <f t="shared" si="2"/>
        <v>18</v>
      </c>
      <c r="F78" s="15" t="str">
        <f t="shared" si="4"/>
        <v>Z18</v>
      </c>
      <c r="G78" s="15" t="e">
        <f t="shared" ca="1" si="39"/>
        <v>#REF!</v>
      </c>
      <c r="H78" s="16" t="s">
        <v>281</v>
      </c>
    </row>
    <row r="79" spans="1:15" ht="12" hidden="1" customHeight="1">
      <c r="A79" s="17" t="str">
        <f t="shared" si="27"/>
        <v>Z19</v>
      </c>
      <c r="B79" s="17">
        <f t="shared" si="1"/>
        <v>78</v>
      </c>
      <c r="C79" s="18" t="s">
        <v>50</v>
      </c>
      <c r="D79" s="19" t="s">
        <v>60</v>
      </c>
      <c r="E79" s="15">
        <f t="shared" si="2"/>
        <v>19</v>
      </c>
      <c r="F79" s="15" t="str">
        <f t="shared" si="4"/>
        <v>Z19</v>
      </c>
      <c r="G79" s="15" t="e">
        <f t="shared" ca="1" si="39"/>
        <v>#REF!</v>
      </c>
    </row>
    <row r="80" spans="1:15" ht="12" hidden="1" customHeight="1">
      <c r="A80" s="17" t="str">
        <f t="shared" si="27"/>
        <v>Z20</v>
      </c>
      <c r="B80" s="17">
        <f t="shared" si="1"/>
        <v>79</v>
      </c>
      <c r="C80" s="18" t="s">
        <v>142</v>
      </c>
      <c r="D80" s="19" t="s">
        <v>60</v>
      </c>
      <c r="E80" s="15">
        <f t="shared" si="2"/>
        <v>20</v>
      </c>
      <c r="F80" s="15" t="str">
        <f t="shared" si="4"/>
        <v>Z20</v>
      </c>
      <c r="G80" s="15" t="e">
        <f t="shared" ca="1" si="39"/>
        <v>#REF!</v>
      </c>
      <c r="H80" s="16" t="s">
        <v>149</v>
      </c>
    </row>
    <row r="81" spans="1:8" ht="12" hidden="1" customHeight="1">
      <c r="A81" s="17" t="str">
        <f t="shared" si="27"/>
        <v>Z21</v>
      </c>
      <c r="B81" s="17">
        <f t="shared" si="1"/>
        <v>80</v>
      </c>
      <c r="C81" s="18" t="s">
        <v>287</v>
      </c>
      <c r="D81" s="19" t="s">
        <v>60</v>
      </c>
      <c r="E81" s="15">
        <f t="shared" si="2"/>
        <v>21</v>
      </c>
      <c r="F81" s="15" t="str">
        <f t="shared" si="4"/>
        <v>Z21</v>
      </c>
      <c r="G81" s="15" t="e">
        <f t="shared" ca="1" si="39"/>
        <v>#REF!</v>
      </c>
      <c r="H81" s="16" t="s">
        <v>299</v>
      </c>
    </row>
    <row r="82" spans="1:8" ht="12" hidden="1" customHeight="1">
      <c r="A82" s="17" t="str">
        <f t="shared" ref="A82:A145" si="40">F82</f>
        <v>Z22</v>
      </c>
      <c r="B82" s="17">
        <f t="shared" ref="B82:B145" si="41">ROW()-1</f>
        <v>81</v>
      </c>
      <c r="C82" s="18" t="s">
        <v>200</v>
      </c>
      <c r="D82" s="19" t="s">
        <v>60</v>
      </c>
      <c r="E82" s="15">
        <f t="shared" ref="E82:E145" si="42">IF(D82=D81,E81+1,1)</f>
        <v>22</v>
      </c>
      <c r="F82" s="15" t="str">
        <f t="shared" ref="F82:F145" si="43">CONCATENATE(D82,E82)</f>
        <v>Z22</v>
      </c>
      <c r="G82" s="15" t="e">
        <f t="shared" ca="1" si="39"/>
        <v>#REF!</v>
      </c>
      <c r="H82" s="16" t="s">
        <v>263</v>
      </c>
    </row>
    <row r="83" spans="1:8" ht="12" hidden="1" customHeight="1">
      <c r="A83" s="17" t="str">
        <f t="shared" si="40"/>
        <v>Z23</v>
      </c>
      <c r="B83" s="17">
        <f t="shared" si="41"/>
        <v>82</v>
      </c>
      <c r="C83" s="18" t="s">
        <v>284</v>
      </c>
      <c r="D83" s="19" t="s">
        <v>60</v>
      </c>
      <c r="E83" s="15">
        <f t="shared" si="42"/>
        <v>23</v>
      </c>
      <c r="F83" s="15" t="str">
        <f t="shared" si="43"/>
        <v>Z23</v>
      </c>
      <c r="G83" s="15" t="e">
        <f t="shared" ca="1" si="39"/>
        <v>#REF!</v>
      </c>
      <c r="H83" s="16" t="s">
        <v>296</v>
      </c>
    </row>
    <row r="84" spans="1:8" ht="12" hidden="1" customHeight="1">
      <c r="A84" s="17" t="str">
        <f t="shared" si="40"/>
        <v>Z24</v>
      </c>
      <c r="B84" s="17">
        <f t="shared" si="41"/>
        <v>83</v>
      </c>
      <c r="C84" s="18" t="s">
        <v>178</v>
      </c>
      <c r="D84" s="19" t="s">
        <v>60</v>
      </c>
      <c r="E84" s="15">
        <f t="shared" si="42"/>
        <v>24</v>
      </c>
      <c r="F84" s="15" t="str">
        <f t="shared" si="43"/>
        <v>Z24</v>
      </c>
      <c r="G84" s="15" t="e">
        <f t="shared" ca="1" si="39"/>
        <v>#REF!</v>
      </c>
      <c r="H84" s="16" t="s">
        <v>261</v>
      </c>
    </row>
    <row r="85" spans="1:8" ht="12" hidden="1" customHeight="1">
      <c r="A85" s="17" t="str">
        <f t="shared" si="40"/>
        <v>Z25</v>
      </c>
      <c r="B85" s="17">
        <f t="shared" si="41"/>
        <v>84</v>
      </c>
      <c r="C85" s="18" t="s">
        <v>154</v>
      </c>
      <c r="D85" s="19" t="s">
        <v>60</v>
      </c>
      <c r="E85" s="15">
        <f t="shared" si="42"/>
        <v>25</v>
      </c>
      <c r="F85" s="15" t="str">
        <f t="shared" si="43"/>
        <v>Z25</v>
      </c>
      <c r="G85" s="15" t="e">
        <f t="shared" ca="1" si="39"/>
        <v>#REF!</v>
      </c>
      <c r="H85" s="16" t="s">
        <v>155</v>
      </c>
    </row>
    <row r="86" spans="1:8" ht="12" hidden="1" customHeight="1">
      <c r="A86" s="17" t="str">
        <f t="shared" si="40"/>
        <v>Z26</v>
      </c>
      <c r="B86" s="17">
        <f t="shared" si="41"/>
        <v>85</v>
      </c>
      <c r="C86" s="18" t="s">
        <v>105</v>
      </c>
      <c r="D86" s="19" t="s">
        <v>60</v>
      </c>
      <c r="E86" s="15">
        <f t="shared" si="42"/>
        <v>26</v>
      </c>
      <c r="F86" s="15" t="str">
        <f t="shared" si="43"/>
        <v>Z26</v>
      </c>
      <c r="G86" s="15" t="e">
        <f t="shared" ca="1" si="39"/>
        <v>#REF!</v>
      </c>
    </row>
    <row r="87" spans="1:8" ht="12" hidden="1" customHeight="1">
      <c r="A87" s="17" t="str">
        <f t="shared" si="40"/>
        <v>Z27</v>
      </c>
      <c r="B87" s="17">
        <f t="shared" si="41"/>
        <v>86</v>
      </c>
      <c r="C87" s="18" t="s">
        <v>100</v>
      </c>
      <c r="D87" s="19" t="s">
        <v>60</v>
      </c>
      <c r="E87" s="15">
        <f t="shared" si="42"/>
        <v>27</v>
      </c>
      <c r="F87" s="15" t="str">
        <f t="shared" si="43"/>
        <v>Z27</v>
      </c>
      <c r="G87" s="15" t="e">
        <f t="shared" ca="1" si="39"/>
        <v>#REF!</v>
      </c>
      <c r="H87" s="16" t="s">
        <v>162</v>
      </c>
    </row>
    <row r="88" spans="1:8" ht="12" hidden="1" customHeight="1">
      <c r="A88" s="17" t="str">
        <f t="shared" si="40"/>
        <v>Z28</v>
      </c>
      <c r="B88" s="17">
        <f t="shared" si="41"/>
        <v>87</v>
      </c>
      <c r="C88" s="18" t="s">
        <v>243</v>
      </c>
      <c r="D88" s="19" t="s">
        <v>60</v>
      </c>
      <c r="E88" s="15">
        <f t="shared" si="42"/>
        <v>28</v>
      </c>
      <c r="F88" s="15" t="str">
        <f t="shared" si="43"/>
        <v>Z28</v>
      </c>
      <c r="G88" s="15" t="e">
        <f ca="1">VLOOKUP(C88,INDIRECT("'"&amp;D88&amp;" liga'!$A$1:$P$33"),16,FALSE)</f>
        <v>#REF!</v>
      </c>
      <c r="H88" s="16" t="s">
        <v>297</v>
      </c>
    </row>
    <row r="89" spans="1:8" ht="12" hidden="1" customHeight="1">
      <c r="A89" s="17" t="str">
        <f t="shared" si="40"/>
        <v>Z29</v>
      </c>
      <c r="B89" s="17">
        <f t="shared" si="41"/>
        <v>88</v>
      </c>
      <c r="C89" s="18" t="s">
        <v>13</v>
      </c>
      <c r="D89" s="19" t="s">
        <v>60</v>
      </c>
      <c r="E89" s="15">
        <f t="shared" si="42"/>
        <v>29</v>
      </c>
      <c r="F89" s="15" t="str">
        <f t="shared" si="43"/>
        <v>Z29</v>
      </c>
      <c r="G89" s="15" t="e">
        <f t="shared" ref="G89:G120" ca="1" si="44">VLOOKUP(C89,INDIRECT("'"&amp;D89&amp;" liga'!$A$1:$O$30"),15,FALSE)</f>
        <v>#REF!</v>
      </c>
      <c r="H89" s="16" t="s">
        <v>197</v>
      </c>
    </row>
    <row r="90" spans="1:8" ht="12" hidden="1" customHeight="1">
      <c r="A90" s="17" t="str">
        <f t="shared" si="40"/>
        <v>Z30</v>
      </c>
      <c r="B90" s="17">
        <f t="shared" si="41"/>
        <v>89</v>
      </c>
      <c r="C90" s="18" t="s">
        <v>89</v>
      </c>
      <c r="D90" s="19" t="s">
        <v>60</v>
      </c>
      <c r="E90" s="15">
        <f t="shared" si="42"/>
        <v>30</v>
      </c>
      <c r="F90" s="15" t="str">
        <f t="shared" si="43"/>
        <v>Z30</v>
      </c>
      <c r="G90" s="15" t="e">
        <f t="shared" ca="1" si="44"/>
        <v>#REF!</v>
      </c>
    </row>
    <row r="91" spans="1:8" ht="12" hidden="1" customHeight="1">
      <c r="A91" s="17" t="str">
        <f t="shared" si="40"/>
        <v>Z31</v>
      </c>
      <c r="B91" s="17">
        <f t="shared" si="41"/>
        <v>90</v>
      </c>
      <c r="C91" s="18" t="s">
        <v>130</v>
      </c>
      <c r="D91" s="19" t="s">
        <v>60</v>
      </c>
      <c r="E91" s="15">
        <f t="shared" si="42"/>
        <v>31</v>
      </c>
      <c r="F91" s="15" t="str">
        <f t="shared" si="43"/>
        <v>Z31</v>
      </c>
      <c r="G91" s="15" t="e">
        <f t="shared" ca="1" si="44"/>
        <v>#REF!</v>
      </c>
      <c r="H91" s="16" t="s">
        <v>141</v>
      </c>
    </row>
    <row r="92" spans="1:8" ht="12" hidden="1" customHeight="1">
      <c r="A92" s="17" t="str">
        <f t="shared" si="40"/>
        <v>Z32</v>
      </c>
      <c r="B92" s="17">
        <f t="shared" si="41"/>
        <v>91</v>
      </c>
      <c r="C92" s="18" t="s">
        <v>72</v>
      </c>
      <c r="D92" s="19" t="s">
        <v>60</v>
      </c>
      <c r="E92" s="15">
        <f t="shared" si="42"/>
        <v>32</v>
      </c>
      <c r="F92" s="15" t="str">
        <f t="shared" si="43"/>
        <v>Z32</v>
      </c>
      <c r="G92" s="15" t="e">
        <f t="shared" ca="1" si="44"/>
        <v>#REF!</v>
      </c>
      <c r="H92" s="16" t="s">
        <v>148</v>
      </c>
    </row>
    <row r="93" spans="1:8" ht="12" hidden="1" customHeight="1">
      <c r="A93" s="17" t="str">
        <f t="shared" si="40"/>
        <v>Z33</v>
      </c>
      <c r="B93" s="17">
        <f t="shared" si="41"/>
        <v>92</v>
      </c>
      <c r="C93" s="18" t="s">
        <v>186</v>
      </c>
      <c r="D93" s="19" t="s">
        <v>60</v>
      </c>
      <c r="E93" s="15">
        <f t="shared" si="42"/>
        <v>33</v>
      </c>
      <c r="F93" s="15" t="str">
        <f t="shared" si="43"/>
        <v>Z33</v>
      </c>
      <c r="G93" s="15" t="e">
        <f t="shared" ca="1" si="44"/>
        <v>#REF!</v>
      </c>
      <c r="H93" s="16" t="s">
        <v>210</v>
      </c>
    </row>
    <row r="94" spans="1:8" ht="12" hidden="1" customHeight="1">
      <c r="A94" s="17" t="str">
        <f t="shared" si="40"/>
        <v>Z34</v>
      </c>
      <c r="B94" s="17">
        <f t="shared" si="41"/>
        <v>93</v>
      </c>
      <c r="C94" s="18" t="s">
        <v>222</v>
      </c>
      <c r="D94" s="19" t="s">
        <v>60</v>
      </c>
      <c r="E94" s="15">
        <f t="shared" si="42"/>
        <v>34</v>
      </c>
      <c r="F94" s="15" t="str">
        <f t="shared" si="43"/>
        <v>Z34</v>
      </c>
      <c r="G94" s="15" t="e">
        <f t="shared" ca="1" si="44"/>
        <v>#REF!</v>
      </c>
      <c r="H94" s="16" t="s">
        <v>281</v>
      </c>
    </row>
    <row r="95" spans="1:8" ht="12" hidden="1" customHeight="1">
      <c r="A95" s="17" t="str">
        <f t="shared" si="40"/>
        <v>Z35</v>
      </c>
      <c r="B95" s="17">
        <f t="shared" si="41"/>
        <v>94</v>
      </c>
      <c r="C95" s="18" t="s">
        <v>116</v>
      </c>
      <c r="D95" s="19" t="s">
        <v>60</v>
      </c>
      <c r="E95" s="15">
        <f t="shared" si="42"/>
        <v>35</v>
      </c>
      <c r="F95" s="15" t="str">
        <f t="shared" si="43"/>
        <v>Z35</v>
      </c>
      <c r="G95" s="15" t="e">
        <f t="shared" ca="1" si="44"/>
        <v>#REF!</v>
      </c>
      <c r="H95" s="16" t="s">
        <v>147</v>
      </c>
    </row>
    <row r="96" spans="1:8" ht="12" hidden="1" customHeight="1">
      <c r="A96" s="17" t="str">
        <f t="shared" si="40"/>
        <v>Z36</v>
      </c>
      <c r="B96" s="17">
        <f t="shared" si="41"/>
        <v>95</v>
      </c>
      <c r="C96" s="18" t="s">
        <v>206</v>
      </c>
      <c r="D96" s="19" t="s">
        <v>60</v>
      </c>
      <c r="E96" s="15">
        <f t="shared" si="42"/>
        <v>36</v>
      </c>
      <c r="F96" s="15" t="str">
        <f t="shared" si="43"/>
        <v>Z36</v>
      </c>
      <c r="G96" s="15" t="e">
        <f t="shared" ca="1" si="44"/>
        <v>#REF!</v>
      </c>
      <c r="H96" s="16" t="s">
        <v>229</v>
      </c>
    </row>
    <row r="97" spans="1:8" ht="12" hidden="1" customHeight="1">
      <c r="A97" s="17" t="str">
        <f t="shared" si="40"/>
        <v>Z37</v>
      </c>
      <c r="B97" s="17">
        <f t="shared" si="41"/>
        <v>96</v>
      </c>
      <c r="C97" s="18" t="s">
        <v>81</v>
      </c>
      <c r="D97" s="19" t="s">
        <v>60</v>
      </c>
      <c r="E97" s="15">
        <f t="shared" si="42"/>
        <v>37</v>
      </c>
      <c r="F97" s="15" t="str">
        <f t="shared" si="43"/>
        <v>Z37</v>
      </c>
      <c r="G97" s="15" t="e">
        <f t="shared" ca="1" si="44"/>
        <v>#REF!</v>
      </c>
    </row>
    <row r="98" spans="1:8" ht="12" hidden="1" customHeight="1">
      <c r="A98" s="17" t="str">
        <f t="shared" si="40"/>
        <v>Z38</v>
      </c>
      <c r="B98" s="17">
        <f t="shared" si="41"/>
        <v>97</v>
      </c>
      <c r="C98" s="18" t="s">
        <v>102</v>
      </c>
      <c r="D98" s="19" t="s">
        <v>60</v>
      </c>
      <c r="E98" s="15">
        <f t="shared" si="42"/>
        <v>38</v>
      </c>
      <c r="F98" s="15" t="str">
        <f t="shared" si="43"/>
        <v>Z38</v>
      </c>
      <c r="G98" s="15" t="e">
        <f t="shared" ca="1" si="44"/>
        <v>#REF!</v>
      </c>
      <c r="H98" s="16" t="s">
        <v>208</v>
      </c>
    </row>
    <row r="99" spans="1:8" ht="12" hidden="1" customHeight="1">
      <c r="A99" s="17" t="str">
        <f t="shared" si="40"/>
        <v>Z39</v>
      </c>
      <c r="B99" s="17">
        <f t="shared" si="41"/>
        <v>98</v>
      </c>
      <c r="C99" s="18" t="s">
        <v>115</v>
      </c>
      <c r="D99" s="19" t="s">
        <v>60</v>
      </c>
      <c r="E99" s="15">
        <f t="shared" si="42"/>
        <v>39</v>
      </c>
      <c r="F99" s="15" t="str">
        <f t="shared" si="43"/>
        <v>Z39</v>
      </c>
      <c r="G99" s="15" t="e">
        <f t="shared" ca="1" si="44"/>
        <v>#REF!</v>
      </c>
    </row>
    <row r="100" spans="1:8" ht="12" hidden="1" customHeight="1">
      <c r="A100" s="17" t="str">
        <f t="shared" si="40"/>
        <v>Z40</v>
      </c>
      <c r="B100" s="17">
        <f t="shared" si="41"/>
        <v>99</v>
      </c>
      <c r="C100" s="28" t="s">
        <v>35</v>
      </c>
      <c r="D100" s="19" t="s">
        <v>60</v>
      </c>
      <c r="E100" s="15">
        <f t="shared" si="42"/>
        <v>40</v>
      </c>
      <c r="F100" s="15" t="str">
        <f t="shared" si="43"/>
        <v>Z40</v>
      </c>
      <c r="G100" s="15" t="e">
        <f t="shared" ca="1" si="44"/>
        <v>#REF!</v>
      </c>
    </row>
    <row r="101" spans="1:8" ht="12" hidden="1" customHeight="1">
      <c r="A101" s="17" t="str">
        <f t="shared" si="40"/>
        <v>Z41</v>
      </c>
      <c r="B101" s="17">
        <f t="shared" si="41"/>
        <v>100</v>
      </c>
      <c r="C101" s="18" t="s">
        <v>96</v>
      </c>
      <c r="D101" s="19" t="s">
        <v>60</v>
      </c>
      <c r="E101" s="15">
        <f t="shared" si="42"/>
        <v>41</v>
      </c>
      <c r="F101" s="15" t="str">
        <f t="shared" si="43"/>
        <v>Z41</v>
      </c>
      <c r="G101" s="15" t="e">
        <f t="shared" ca="1" si="44"/>
        <v>#REF!</v>
      </c>
    </row>
    <row r="102" spans="1:8" ht="8.5" hidden="1" customHeight="1">
      <c r="A102" s="17" t="str">
        <f t="shared" si="40"/>
        <v>Z42</v>
      </c>
      <c r="B102" s="17">
        <f t="shared" si="41"/>
        <v>101</v>
      </c>
      <c r="C102" s="18" t="s">
        <v>145</v>
      </c>
      <c r="D102" s="19" t="s">
        <v>60</v>
      </c>
      <c r="E102" s="15">
        <f t="shared" si="42"/>
        <v>42</v>
      </c>
      <c r="F102" s="15" t="str">
        <f t="shared" si="43"/>
        <v>Z42</v>
      </c>
      <c r="G102" s="15" t="e">
        <f t="shared" ca="1" si="44"/>
        <v>#REF!</v>
      </c>
      <c r="H102" s="16" t="s">
        <v>202</v>
      </c>
    </row>
    <row r="103" spans="1:8" ht="12" hidden="1" customHeight="1">
      <c r="A103" s="17" t="str">
        <f t="shared" si="40"/>
        <v>Z43</v>
      </c>
      <c r="B103" s="17">
        <f t="shared" si="41"/>
        <v>102</v>
      </c>
      <c r="C103" s="18" t="s">
        <v>271</v>
      </c>
      <c r="D103" s="19" t="s">
        <v>60</v>
      </c>
      <c r="E103" s="15">
        <f t="shared" si="42"/>
        <v>43</v>
      </c>
      <c r="F103" s="15" t="str">
        <f t="shared" si="43"/>
        <v>Z43</v>
      </c>
      <c r="G103" s="15" t="e">
        <f t="shared" ca="1" si="44"/>
        <v>#REF!</v>
      </c>
      <c r="H103" s="16" t="s">
        <v>281</v>
      </c>
    </row>
    <row r="104" spans="1:8" ht="12" hidden="1" customHeight="1">
      <c r="A104" s="17" t="str">
        <f t="shared" si="40"/>
        <v>Z44</v>
      </c>
      <c r="B104" s="17">
        <f t="shared" si="41"/>
        <v>103</v>
      </c>
      <c r="C104" s="18" t="s">
        <v>98</v>
      </c>
      <c r="D104" s="19" t="s">
        <v>60</v>
      </c>
      <c r="E104" s="15">
        <f t="shared" si="42"/>
        <v>44</v>
      </c>
      <c r="F104" s="15" t="str">
        <f t="shared" si="43"/>
        <v>Z44</v>
      </c>
      <c r="G104" s="15" t="e">
        <f t="shared" ca="1" si="44"/>
        <v>#REF!</v>
      </c>
    </row>
    <row r="105" spans="1:8" ht="12" hidden="1" customHeight="1">
      <c r="A105" s="17" t="str">
        <f t="shared" si="40"/>
        <v>Z45</v>
      </c>
      <c r="B105" s="17">
        <f t="shared" si="41"/>
        <v>104</v>
      </c>
      <c r="C105" s="18" t="s">
        <v>223</v>
      </c>
      <c r="D105" s="19" t="s">
        <v>60</v>
      </c>
      <c r="E105" s="15">
        <f t="shared" si="42"/>
        <v>45</v>
      </c>
      <c r="F105" s="15" t="str">
        <f t="shared" si="43"/>
        <v>Z45</v>
      </c>
      <c r="G105" s="15" t="e">
        <f t="shared" ca="1" si="44"/>
        <v>#REF!</v>
      </c>
      <c r="H105" s="16" t="s">
        <v>249</v>
      </c>
    </row>
    <row r="106" spans="1:8" ht="12" hidden="1" customHeight="1">
      <c r="A106" s="17" t="str">
        <f t="shared" si="40"/>
        <v>Z46</v>
      </c>
      <c r="B106" s="17">
        <f t="shared" si="41"/>
        <v>105</v>
      </c>
      <c r="C106" s="18" t="s">
        <v>166</v>
      </c>
      <c r="D106" s="19" t="s">
        <v>60</v>
      </c>
      <c r="E106" s="15">
        <f t="shared" si="42"/>
        <v>46</v>
      </c>
      <c r="F106" s="15" t="str">
        <f t="shared" si="43"/>
        <v>Z46</v>
      </c>
      <c r="G106" s="15" t="e">
        <f t="shared" ca="1" si="44"/>
        <v>#REF!</v>
      </c>
      <c r="H106" s="16" t="s">
        <v>173</v>
      </c>
    </row>
    <row r="107" spans="1:8" ht="12" hidden="1" customHeight="1">
      <c r="A107" s="17" t="str">
        <f t="shared" si="40"/>
        <v>Z47</v>
      </c>
      <c r="B107" s="17">
        <f t="shared" si="41"/>
        <v>106</v>
      </c>
      <c r="C107" s="18" t="s">
        <v>51</v>
      </c>
      <c r="D107" s="19" t="s">
        <v>60</v>
      </c>
      <c r="E107" s="15">
        <f t="shared" si="42"/>
        <v>47</v>
      </c>
      <c r="F107" s="15" t="str">
        <f t="shared" si="43"/>
        <v>Z47</v>
      </c>
      <c r="G107" s="15" t="e">
        <f t="shared" ca="1" si="44"/>
        <v>#REF!</v>
      </c>
    </row>
    <row r="108" spans="1:8" ht="12" hidden="1" customHeight="1">
      <c r="A108" s="17" t="str">
        <f t="shared" si="40"/>
        <v>Z48</v>
      </c>
      <c r="B108" s="17">
        <f t="shared" si="41"/>
        <v>107</v>
      </c>
      <c r="C108" s="18" t="s">
        <v>44</v>
      </c>
      <c r="D108" s="19" t="s">
        <v>60</v>
      </c>
      <c r="E108" s="15">
        <f t="shared" si="42"/>
        <v>48</v>
      </c>
      <c r="F108" s="15" t="str">
        <f t="shared" si="43"/>
        <v>Z48</v>
      </c>
      <c r="G108" s="15" t="e">
        <f t="shared" ca="1" si="44"/>
        <v>#REF!</v>
      </c>
    </row>
    <row r="109" spans="1:8" ht="12" hidden="1" customHeight="1">
      <c r="A109" s="17" t="str">
        <f t="shared" si="40"/>
        <v>Z49</v>
      </c>
      <c r="B109" s="17">
        <f t="shared" si="41"/>
        <v>108</v>
      </c>
      <c r="C109" s="18" t="s">
        <v>109</v>
      </c>
      <c r="D109" s="19" t="s">
        <v>60</v>
      </c>
      <c r="E109" s="15">
        <f t="shared" si="42"/>
        <v>49</v>
      </c>
      <c r="F109" s="15" t="str">
        <f t="shared" si="43"/>
        <v>Z49</v>
      </c>
      <c r="G109" s="15" t="e">
        <f t="shared" ca="1" si="44"/>
        <v>#REF!</v>
      </c>
      <c r="H109" s="16" t="s">
        <v>296</v>
      </c>
    </row>
    <row r="110" spans="1:8" ht="12" hidden="1" customHeight="1">
      <c r="A110" s="17" t="str">
        <f t="shared" si="40"/>
        <v>Z50</v>
      </c>
      <c r="B110" s="17">
        <f t="shared" si="41"/>
        <v>109</v>
      </c>
      <c r="C110" s="18" t="s">
        <v>18</v>
      </c>
      <c r="D110" s="19" t="s">
        <v>60</v>
      </c>
      <c r="E110" s="15">
        <f t="shared" si="42"/>
        <v>50</v>
      </c>
      <c r="F110" s="15" t="str">
        <f t="shared" si="43"/>
        <v>Z50</v>
      </c>
      <c r="G110" s="15" t="e">
        <f t="shared" ca="1" si="44"/>
        <v>#REF!</v>
      </c>
    </row>
    <row r="111" spans="1:8" ht="12" hidden="1" customHeight="1">
      <c r="A111" s="17" t="str">
        <f t="shared" si="40"/>
        <v>Z51</v>
      </c>
      <c r="B111" s="17">
        <f t="shared" si="41"/>
        <v>110</v>
      </c>
      <c r="C111" s="18" t="s">
        <v>221</v>
      </c>
      <c r="D111" s="19" t="s">
        <v>60</v>
      </c>
      <c r="E111" s="15">
        <f t="shared" si="42"/>
        <v>51</v>
      </c>
      <c r="F111" s="15" t="str">
        <f t="shared" si="43"/>
        <v>Z51</v>
      </c>
      <c r="G111" s="15" t="e">
        <f t="shared" ca="1" si="44"/>
        <v>#REF!</v>
      </c>
      <c r="H111" s="16" t="s">
        <v>316</v>
      </c>
    </row>
    <row r="112" spans="1:8" ht="12" hidden="1" customHeight="1">
      <c r="A112" s="17" t="str">
        <f t="shared" si="40"/>
        <v>Z52</v>
      </c>
      <c r="B112" s="17">
        <f t="shared" si="41"/>
        <v>111</v>
      </c>
      <c r="C112" s="18" t="s">
        <v>119</v>
      </c>
      <c r="D112" s="19" t="s">
        <v>60</v>
      </c>
      <c r="E112" s="15">
        <f t="shared" si="42"/>
        <v>52</v>
      </c>
      <c r="F112" s="15" t="str">
        <f t="shared" si="43"/>
        <v>Z52</v>
      </c>
      <c r="G112" s="15" t="e">
        <f t="shared" ca="1" si="44"/>
        <v>#REF!</v>
      </c>
      <c r="H112" s="16" t="s">
        <v>262</v>
      </c>
    </row>
    <row r="113" spans="1:8" ht="12" hidden="1" customHeight="1">
      <c r="A113" s="17" t="str">
        <f t="shared" si="40"/>
        <v>Z53</v>
      </c>
      <c r="B113" s="17">
        <f t="shared" si="41"/>
        <v>112</v>
      </c>
      <c r="C113" s="18" t="s">
        <v>254</v>
      </c>
      <c r="D113" s="19" t="s">
        <v>60</v>
      </c>
      <c r="E113" s="15">
        <f t="shared" si="42"/>
        <v>53</v>
      </c>
      <c r="F113" s="15" t="str">
        <f t="shared" si="43"/>
        <v>Z53</v>
      </c>
      <c r="G113" s="15" t="e">
        <f t="shared" ca="1" si="44"/>
        <v>#REF!</v>
      </c>
      <c r="H113" s="16" t="s">
        <v>255</v>
      </c>
    </row>
    <row r="114" spans="1:8" ht="12" hidden="1" customHeight="1">
      <c r="A114" s="17" t="str">
        <f t="shared" si="40"/>
        <v>Z54</v>
      </c>
      <c r="B114" s="17">
        <f t="shared" si="41"/>
        <v>113</v>
      </c>
      <c r="C114" s="18" t="s">
        <v>265</v>
      </c>
      <c r="D114" s="19" t="s">
        <v>60</v>
      </c>
      <c r="E114" s="15">
        <f t="shared" si="42"/>
        <v>54</v>
      </c>
      <c r="F114" s="15" t="str">
        <f t="shared" si="43"/>
        <v>Z54</v>
      </c>
      <c r="G114" s="15" t="e">
        <f t="shared" ca="1" si="44"/>
        <v>#REF!</v>
      </c>
      <c r="H114" s="16" t="s">
        <v>281</v>
      </c>
    </row>
    <row r="115" spans="1:8" ht="12" hidden="1" customHeight="1">
      <c r="A115" s="17" t="str">
        <f t="shared" si="40"/>
        <v>Z55</v>
      </c>
      <c r="B115" s="17">
        <f t="shared" si="41"/>
        <v>114</v>
      </c>
      <c r="C115" s="18" t="s">
        <v>303</v>
      </c>
      <c r="D115" s="19" t="s">
        <v>60</v>
      </c>
      <c r="E115" s="15">
        <f t="shared" si="42"/>
        <v>55</v>
      </c>
      <c r="F115" s="15" t="str">
        <f t="shared" si="43"/>
        <v>Z55</v>
      </c>
      <c r="G115" s="15" t="e">
        <f t="shared" ca="1" si="44"/>
        <v>#REF!</v>
      </c>
      <c r="H115" s="16" t="s">
        <v>306</v>
      </c>
    </row>
    <row r="116" spans="1:8" ht="12" hidden="1" customHeight="1">
      <c r="A116" s="17" t="str">
        <f t="shared" si="40"/>
        <v>Z56</v>
      </c>
      <c r="B116" s="17">
        <f t="shared" si="41"/>
        <v>115</v>
      </c>
      <c r="C116" s="18" t="s">
        <v>163</v>
      </c>
      <c r="D116" s="19" t="s">
        <v>60</v>
      </c>
      <c r="E116" s="15">
        <f t="shared" si="42"/>
        <v>56</v>
      </c>
      <c r="F116" s="15" t="str">
        <f t="shared" si="43"/>
        <v>Z56</v>
      </c>
      <c r="G116" s="15" t="e">
        <f t="shared" ca="1" si="44"/>
        <v>#REF!</v>
      </c>
      <c r="H116" s="16" t="s">
        <v>309</v>
      </c>
    </row>
    <row r="117" spans="1:8" ht="12" hidden="1" customHeight="1">
      <c r="A117" s="17" t="str">
        <f t="shared" si="40"/>
        <v>Z57</v>
      </c>
      <c r="B117" s="17">
        <f t="shared" si="41"/>
        <v>116</v>
      </c>
      <c r="C117" s="18" t="s">
        <v>153</v>
      </c>
      <c r="D117" s="19" t="s">
        <v>60</v>
      </c>
      <c r="E117" s="15">
        <f t="shared" si="42"/>
        <v>57</v>
      </c>
      <c r="F117" s="15" t="str">
        <f t="shared" si="43"/>
        <v>Z57</v>
      </c>
      <c r="G117" s="15" t="e">
        <f t="shared" ca="1" si="44"/>
        <v>#REF!</v>
      </c>
      <c r="H117" s="16" t="s">
        <v>164</v>
      </c>
    </row>
    <row r="118" spans="1:8" ht="12" hidden="1" customHeight="1">
      <c r="A118" s="17" t="str">
        <f t="shared" si="40"/>
        <v>Z58</v>
      </c>
      <c r="B118" s="17">
        <f t="shared" si="41"/>
        <v>117</v>
      </c>
      <c r="C118" s="18" t="s">
        <v>42</v>
      </c>
      <c r="D118" s="19" t="s">
        <v>60</v>
      </c>
      <c r="E118" s="15">
        <f t="shared" si="42"/>
        <v>58</v>
      </c>
      <c r="F118" s="15" t="str">
        <f t="shared" si="43"/>
        <v>Z58</v>
      </c>
      <c r="G118" s="15" t="e">
        <f t="shared" ca="1" si="44"/>
        <v>#REF!</v>
      </c>
    </row>
    <row r="119" spans="1:8" ht="12" hidden="1" customHeight="1">
      <c r="A119" s="17" t="str">
        <f t="shared" si="40"/>
        <v>Z59</v>
      </c>
      <c r="B119" s="17">
        <f t="shared" si="41"/>
        <v>118</v>
      </c>
      <c r="C119" s="18" t="s">
        <v>4</v>
      </c>
      <c r="D119" s="19" t="s">
        <v>60</v>
      </c>
      <c r="E119" s="15">
        <f t="shared" si="42"/>
        <v>59</v>
      </c>
      <c r="F119" s="15" t="str">
        <f t="shared" si="43"/>
        <v>Z59</v>
      </c>
      <c r="G119" s="15" t="e">
        <f t="shared" ca="1" si="44"/>
        <v>#REF!</v>
      </c>
      <c r="H119" s="16" t="s">
        <v>168</v>
      </c>
    </row>
    <row r="120" spans="1:8" ht="12" hidden="1" customHeight="1">
      <c r="A120" s="17" t="str">
        <f t="shared" si="40"/>
        <v>Z60</v>
      </c>
      <c r="B120" s="17">
        <f t="shared" si="41"/>
        <v>119</v>
      </c>
      <c r="C120" s="18" t="s">
        <v>91</v>
      </c>
      <c r="D120" s="19" t="s">
        <v>60</v>
      </c>
      <c r="E120" s="15">
        <f t="shared" si="42"/>
        <v>60</v>
      </c>
      <c r="F120" s="15" t="str">
        <f t="shared" si="43"/>
        <v>Z60</v>
      </c>
      <c r="G120" s="15" t="e">
        <f t="shared" ca="1" si="44"/>
        <v>#REF!</v>
      </c>
    </row>
    <row r="121" spans="1:8" ht="12" hidden="1" customHeight="1">
      <c r="A121" s="17" t="str">
        <f t="shared" si="40"/>
        <v>Z61</v>
      </c>
      <c r="B121" s="17">
        <f t="shared" si="41"/>
        <v>120</v>
      </c>
      <c r="C121" s="18" t="s">
        <v>239</v>
      </c>
      <c r="D121" s="19" t="s">
        <v>60</v>
      </c>
      <c r="E121" s="15">
        <f t="shared" si="42"/>
        <v>61</v>
      </c>
      <c r="F121" s="15" t="str">
        <f t="shared" si="43"/>
        <v>Z61</v>
      </c>
      <c r="G121" s="15" t="e">
        <f t="shared" ref="G121:G142" ca="1" si="45">VLOOKUP(C121,INDIRECT("'"&amp;D121&amp;" liga'!$A$1:$O$30"),15,FALSE)</f>
        <v>#REF!</v>
      </c>
      <c r="H121" s="16" t="s">
        <v>258</v>
      </c>
    </row>
    <row r="122" spans="1:8" ht="2.5" hidden="1" customHeight="1">
      <c r="A122" s="17" t="str">
        <f t="shared" si="40"/>
        <v>Z62</v>
      </c>
      <c r="B122" s="17">
        <f t="shared" si="41"/>
        <v>121</v>
      </c>
      <c r="C122" s="18" t="s">
        <v>83</v>
      </c>
      <c r="D122" s="19" t="s">
        <v>60</v>
      </c>
      <c r="E122" s="15">
        <f t="shared" si="42"/>
        <v>62</v>
      </c>
      <c r="F122" s="15" t="str">
        <f t="shared" si="43"/>
        <v>Z62</v>
      </c>
      <c r="G122" s="15" t="e">
        <f t="shared" ca="1" si="45"/>
        <v>#REF!</v>
      </c>
      <c r="H122" s="16" t="s">
        <v>176</v>
      </c>
    </row>
    <row r="123" spans="1:8" ht="12" hidden="1" customHeight="1">
      <c r="A123" s="17" t="str">
        <f t="shared" si="40"/>
        <v>Z63</v>
      </c>
      <c r="B123" s="17">
        <f t="shared" si="41"/>
        <v>122</v>
      </c>
      <c r="C123" s="26" t="s">
        <v>240</v>
      </c>
      <c r="D123" s="19" t="s">
        <v>60</v>
      </c>
      <c r="E123" s="15">
        <f t="shared" si="42"/>
        <v>63</v>
      </c>
      <c r="F123" s="15" t="str">
        <f t="shared" si="43"/>
        <v>Z63</v>
      </c>
      <c r="G123" s="15" t="e">
        <f t="shared" ca="1" si="45"/>
        <v>#REF!</v>
      </c>
      <c r="H123" s="16" t="s">
        <v>249</v>
      </c>
    </row>
    <row r="124" spans="1:8" ht="12" hidden="1" customHeight="1">
      <c r="A124" s="17" t="str">
        <f t="shared" si="40"/>
        <v>Z64</v>
      </c>
      <c r="B124" s="17">
        <f t="shared" si="41"/>
        <v>123</v>
      </c>
      <c r="C124" s="18" t="s">
        <v>133</v>
      </c>
      <c r="D124" s="19" t="s">
        <v>60</v>
      </c>
      <c r="E124" s="15">
        <f t="shared" si="42"/>
        <v>64</v>
      </c>
      <c r="F124" s="15" t="str">
        <f t="shared" si="43"/>
        <v>Z64</v>
      </c>
      <c r="G124" s="15" t="e">
        <f t="shared" ca="1" si="45"/>
        <v>#REF!</v>
      </c>
      <c r="H124" s="16" t="s">
        <v>175</v>
      </c>
    </row>
    <row r="125" spans="1:8" ht="12" hidden="1" customHeight="1">
      <c r="A125" s="17" t="str">
        <f t="shared" si="40"/>
        <v>Z65</v>
      </c>
      <c r="B125" s="17">
        <f t="shared" si="41"/>
        <v>124</v>
      </c>
      <c r="C125" s="18" t="s">
        <v>282</v>
      </c>
      <c r="D125" s="19" t="s">
        <v>60</v>
      </c>
      <c r="E125" s="15">
        <f t="shared" si="42"/>
        <v>65</v>
      </c>
      <c r="F125" s="15" t="str">
        <f t="shared" si="43"/>
        <v>Z65</v>
      </c>
      <c r="G125" s="15" t="e">
        <f t="shared" ca="1" si="45"/>
        <v>#REF!</v>
      </c>
      <c r="H125" s="16" t="s">
        <v>307</v>
      </c>
    </row>
    <row r="126" spans="1:8" ht="12" hidden="1" customHeight="1">
      <c r="A126" s="17" t="str">
        <f t="shared" si="40"/>
        <v>Z66</v>
      </c>
      <c r="B126" s="17">
        <f t="shared" si="41"/>
        <v>125</v>
      </c>
      <c r="C126" s="18" t="s">
        <v>165</v>
      </c>
      <c r="D126" s="19" t="s">
        <v>60</v>
      </c>
      <c r="E126" s="15">
        <f t="shared" si="42"/>
        <v>66</v>
      </c>
      <c r="F126" s="15" t="str">
        <f t="shared" si="43"/>
        <v>Z66</v>
      </c>
      <c r="G126" s="15" t="e">
        <f t="shared" ca="1" si="45"/>
        <v>#REF!</v>
      </c>
      <c r="H126" s="16" t="s">
        <v>182</v>
      </c>
    </row>
    <row r="127" spans="1:8" ht="12" hidden="1" customHeight="1">
      <c r="A127" s="17" t="str">
        <f t="shared" si="40"/>
        <v>Z67</v>
      </c>
      <c r="B127" s="17">
        <f t="shared" si="41"/>
        <v>126</v>
      </c>
      <c r="C127" s="18" t="s">
        <v>15</v>
      </c>
      <c r="D127" s="19" t="s">
        <v>60</v>
      </c>
      <c r="E127" s="15">
        <f t="shared" si="42"/>
        <v>67</v>
      </c>
      <c r="F127" s="15" t="str">
        <f t="shared" si="43"/>
        <v>Z67</v>
      </c>
      <c r="G127" s="15" t="e">
        <f t="shared" ca="1" si="45"/>
        <v>#REF!</v>
      </c>
    </row>
    <row r="128" spans="1:8" ht="12" hidden="1" customHeight="1">
      <c r="A128" s="17" t="str">
        <f t="shared" si="40"/>
        <v>Z68</v>
      </c>
      <c r="B128" s="17">
        <f t="shared" si="41"/>
        <v>127</v>
      </c>
      <c r="C128" s="18" t="s">
        <v>114</v>
      </c>
      <c r="D128" s="19" t="s">
        <v>60</v>
      </c>
      <c r="E128" s="15">
        <f t="shared" si="42"/>
        <v>68</v>
      </c>
      <c r="F128" s="15" t="str">
        <f t="shared" si="43"/>
        <v>Z68</v>
      </c>
      <c r="G128" s="15" t="e">
        <f t="shared" ca="1" si="45"/>
        <v>#REF!</v>
      </c>
    </row>
    <row r="129" spans="1:8" ht="12" hidden="1" customHeight="1">
      <c r="A129" s="17" t="str">
        <f t="shared" si="40"/>
        <v>Z69</v>
      </c>
      <c r="B129" s="17">
        <f t="shared" si="41"/>
        <v>128</v>
      </c>
      <c r="C129" s="18" t="s">
        <v>230</v>
      </c>
      <c r="D129" s="19" t="s">
        <v>60</v>
      </c>
      <c r="E129" s="15">
        <f t="shared" si="42"/>
        <v>69</v>
      </c>
      <c r="F129" s="15" t="str">
        <f t="shared" si="43"/>
        <v>Z69</v>
      </c>
      <c r="G129" s="15" t="e">
        <f t="shared" ca="1" si="45"/>
        <v>#REF!</v>
      </c>
    </row>
    <row r="130" spans="1:8" ht="12" hidden="1" customHeight="1">
      <c r="A130" s="17" t="str">
        <f t="shared" si="40"/>
        <v>Z70</v>
      </c>
      <c r="B130" s="17">
        <f t="shared" si="41"/>
        <v>129</v>
      </c>
      <c r="C130" s="18" t="s">
        <v>104</v>
      </c>
      <c r="D130" s="19" t="s">
        <v>60</v>
      </c>
      <c r="E130" s="15">
        <f t="shared" si="42"/>
        <v>70</v>
      </c>
      <c r="F130" s="15" t="str">
        <f t="shared" si="43"/>
        <v>Z70</v>
      </c>
      <c r="G130" s="15" t="e">
        <f t="shared" ca="1" si="45"/>
        <v>#REF!</v>
      </c>
    </row>
    <row r="131" spans="1:8" ht="12" hidden="1" customHeight="1">
      <c r="A131" s="17" t="str">
        <f t="shared" si="40"/>
        <v>Z71</v>
      </c>
      <c r="B131" s="17">
        <f t="shared" si="41"/>
        <v>130</v>
      </c>
      <c r="C131" s="18" t="s">
        <v>57</v>
      </c>
      <c r="D131" s="19" t="s">
        <v>60</v>
      </c>
      <c r="E131" s="15">
        <f t="shared" si="42"/>
        <v>71</v>
      </c>
      <c r="F131" s="15" t="str">
        <f t="shared" si="43"/>
        <v>Z71</v>
      </c>
      <c r="G131" s="15" t="e">
        <f t="shared" ca="1" si="45"/>
        <v>#REF!</v>
      </c>
    </row>
    <row r="132" spans="1:8" ht="12" hidden="1" customHeight="1">
      <c r="A132" s="17" t="str">
        <f t="shared" si="40"/>
        <v>Z72</v>
      </c>
      <c r="B132" s="17">
        <f t="shared" si="41"/>
        <v>131</v>
      </c>
      <c r="C132" s="18" t="s">
        <v>77</v>
      </c>
      <c r="D132" s="19" t="s">
        <v>60</v>
      </c>
      <c r="E132" s="15">
        <f t="shared" si="42"/>
        <v>72</v>
      </c>
      <c r="F132" s="15" t="str">
        <f t="shared" si="43"/>
        <v>Z72</v>
      </c>
      <c r="G132" s="15" t="e">
        <f t="shared" ca="1" si="45"/>
        <v>#REF!</v>
      </c>
    </row>
    <row r="133" spans="1:8" ht="12" hidden="1" customHeight="1">
      <c r="A133" s="17" t="str">
        <f t="shared" si="40"/>
        <v>Z73</v>
      </c>
      <c r="B133" s="17">
        <f t="shared" si="41"/>
        <v>132</v>
      </c>
      <c r="C133" s="18" t="s">
        <v>34</v>
      </c>
      <c r="D133" s="19" t="s">
        <v>60</v>
      </c>
      <c r="E133" s="15">
        <f t="shared" si="42"/>
        <v>73</v>
      </c>
      <c r="F133" s="15" t="str">
        <f t="shared" si="43"/>
        <v>Z73</v>
      </c>
      <c r="G133" s="15" t="e">
        <f t="shared" ca="1" si="45"/>
        <v>#REF!</v>
      </c>
      <c r="H133" s="16" t="s">
        <v>289</v>
      </c>
    </row>
    <row r="134" spans="1:8" ht="12" hidden="1" customHeight="1">
      <c r="A134" s="17" t="str">
        <f t="shared" si="40"/>
        <v>Z74</v>
      </c>
      <c r="B134" s="17">
        <f t="shared" si="41"/>
        <v>133</v>
      </c>
      <c r="C134" s="18" t="s">
        <v>113</v>
      </c>
      <c r="D134" s="19" t="s">
        <v>60</v>
      </c>
      <c r="E134" s="15">
        <f t="shared" si="42"/>
        <v>74</v>
      </c>
      <c r="F134" s="15" t="str">
        <f t="shared" si="43"/>
        <v>Z74</v>
      </c>
      <c r="G134" s="15" t="e">
        <f t="shared" ca="1" si="45"/>
        <v>#REF!</v>
      </c>
      <c r="H134" s="16" t="s">
        <v>150</v>
      </c>
    </row>
    <row r="135" spans="1:8" ht="12" hidden="1" customHeight="1">
      <c r="A135" s="17" t="str">
        <f t="shared" si="40"/>
        <v>Z75</v>
      </c>
      <c r="B135" s="17">
        <f t="shared" si="41"/>
        <v>134</v>
      </c>
      <c r="C135" s="18" t="s">
        <v>112</v>
      </c>
      <c r="D135" s="19" t="s">
        <v>60</v>
      </c>
      <c r="E135" s="15">
        <f t="shared" si="42"/>
        <v>75</v>
      </c>
      <c r="F135" s="15" t="str">
        <f t="shared" si="43"/>
        <v>Z75</v>
      </c>
      <c r="G135" s="15" t="e">
        <f t="shared" ca="1" si="45"/>
        <v>#REF!</v>
      </c>
      <c r="H135" s="16" t="s">
        <v>314</v>
      </c>
    </row>
    <row r="136" spans="1:8" ht="12" hidden="1" customHeight="1">
      <c r="A136" s="17" t="str">
        <f t="shared" si="40"/>
        <v>Z76</v>
      </c>
      <c r="B136" s="17">
        <f t="shared" si="41"/>
        <v>135</v>
      </c>
      <c r="C136" s="18" t="s">
        <v>67</v>
      </c>
      <c r="D136" s="19" t="s">
        <v>60</v>
      </c>
      <c r="E136" s="15">
        <f t="shared" si="42"/>
        <v>76</v>
      </c>
      <c r="F136" s="15" t="str">
        <f t="shared" si="43"/>
        <v>Z76</v>
      </c>
      <c r="G136" s="15" t="e">
        <f t="shared" ca="1" si="45"/>
        <v>#REF!</v>
      </c>
    </row>
    <row r="137" spans="1:8" ht="12" hidden="1" customHeight="1">
      <c r="A137" s="17" t="str">
        <f t="shared" si="40"/>
        <v>Z77</v>
      </c>
      <c r="B137" s="17">
        <f t="shared" si="41"/>
        <v>136</v>
      </c>
      <c r="C137" s="18" t="s">
        <v>253</v>
      </c>
      <c r="D137" s="19" t="s">
        <v>60</v>
      </c>
      <c r="E137" s="15">
        <f t="shared" si="42"/>
        <v>77</v>
      </c>
      <c r="F137" s="15" t="str">
        <f t="shared" si="43"/>
        <v>Z77</v>
      </c>
      <c r="G137" s="15" t="e">
        <f t="shared" ca="1" si="45"/>
        <v>#REF!</v>
      </c>
      <c r="H137" s="16" t="s">
        <v>280</v>
      </c>
    </row>
    <row r="138" spans="1:8" ht="12" hidden="1" customHeight="1">
      <c r="A138" s="17" t="str">
        <f t="shared" si="40"/>
        <v>Z78</v>
      </c>
      <c r="B138" s="17">
        <f t="shared" si="41"/>
        <v>137</v>
      </c>
      <c r="C138" s="18" t="s">
        <v>39</v>
      </c>
      <c r="D138" s="19" t="s">
        <v>60</v>
      </c>
      <c r="E138" s="15">
        <f t="shared" si="42"/>
        <v>78</v>
      </c>
      <c r="F138" s="15" t="str">
        <f t="shared" si="43"/>
        <v>Z78</v>
      </c>
      <c r="G138" s="15" t="e">
        <f t="shared" ca="1" si="45"/>
        <v>#REF!</v>
      </c>
      <c r="H138" s="16" t="s">
        <v>306</v>
      </c>
    </row>
    <row r="139" spans="1:8" ht="12" hidden="1" customHeight="1">
      <c r="A139" s="17" t="str">
        <f t="shared" si="40"/>
        <v>Z79</v>
      </c>
      <c r="B139" s="17">
        <f t="shared" si="41"/>
        <v>138</v>
      </c>
      <c r="C139" s="18" t="s">
        <v>39</v>
      </c>
      <c r="D139" s="19" t="s">
        <v>60</v>
      </c>
      <c r="E139" s="15">
        <f t="shared" si="42"/>
        <v>79</v>
      </c>
      <c r="F139" s="15" t="str">
        <f t="shared" si="43"/>
        <v>Z79</v>
      </c>
      <c r="G139" s="15" t="e">
        <f t="shared" ca="1" si="45"/>
        <v>#REF!</v>
      </c>
    </row>
    <row r="140" spans="1:8" ht="12" hidden="1" customHeight="1">
      <c r="A140" s="17" t="str">
        <f t="shared" si="40"/>
        <v>Z80</v>
      </c>
      <c r="B140" s="17">
        <f t="shared" si="41"/>
        <v>139</v>
      </c>
      <c r="C140" s="18" t="s">
        <v>192</v>
      </c>
      <c r="D140" s="19" t="s">
        <v>60</v>
      </c>
      <c r="E140" s="15">
        <f t="shared" si="42"/>
        <v>80</v>
      </c>
      <c r="F140" s="15" t="str">
        <f t="shared" si="43"/>
        <v>Z80</v>
      </c>
      <c r="G140" s="15" t="e">
        <f t="shared" ca="1" si="45"/>
        <v>#REF!</v>
      </c>
      <c r="H140" s="16" t="s">
        <v>217</v>
      </c>
    </row>
    <row r="141" spans="1:8" ht="12" hidden="1" customHeight="1">
      <c r="A141" s="17" t="str">
        <f t="shared" si="40"/>
        <v>Z81</v>
      </c>
      <c r="B141" s="17">
        <f t="shared" si="41"/>
        <v>140</v>
      </c>
      <c r="C141" s="26" t="s">
        <v>214</v>
      </c>
      <c r="D141" s="19" t="s">
        <v>60</v>
      </c>
      <c r="E141" s="15">
        <f t="shared" si="42"/>
        <v>81</v>
      </c>
      <c r="F141" s="15" t="str">
        <f t="shared" si="43"/>
        <v>Z81</v>
      </c>
      <c r="G141" s="15" t="e">
        <f t="shared" ca="1" si="45"/>
        <v>#REF!</v>
      </c>
      <c r="H141" s="16" t="s">
        <v>224</v>
      </c>
    </row>
    <row r="142" spans="1:8" ht="12" hidden="1" customHeight="1">
      <c r="A142" s="17" t="str">
        <f t="shared" si="40"/>
        <v>Z82</v>
      </c>
      <c r="B142" s="17">
        <f t="shared" si="41"/>
        <v>141</v>
      </c>
      <c r="C142" s="18" t="s">
        <v>160</v>
      </c>
      <c r="D142" s="19" t="s">
        <v>60</v>
      </c>
      <c r="E142" s="15">
        <f t="shared" si="42"/>
        <v>82</v>
      </c>
      <c r="F142" s="15" t="str">
        <f t="shared" si="43"/>
        <v>Z82</v>
      </c>
      <c r="G142" s="15" t="e">
        <f t="shared" ca="1" si="45"/>
        <v>#REF!</v>
      </c>
    </row>
    <row r="143" spans="1:8" ht="12" hidden="1" customHeight="1">
      <c r="A143" s="17" t="str">
        <f t="shared" si="40"/>
        <v>Z83</v>
      </c>
      <c r="B143" s="17">
        <f t="shared" si="41"/>
        <v>142</v>
      </c>
      <c r="C143" s="18" t="s">
        <v>205</v>
      </c>
      <c r="D143" s="19" t="s">
        <v>60</v>
      </c>
      <c r="E143" s="15">
        <f t="shared" si="42"/>
        <v>83</v>
      </c>
      <c r="F143" s="15" t="str">
        <f t="shared" si="43"/>
        <v>Z83</v>
      </c>
      <c r="G143" s="15" t="e">
        <f ca="1">VLOOKUP(C143,INDIRECT("'"&amp;D143&amp;" liga'!$A$1:$P$33"),16,FALSE)</f>
        <v>#REF!</v>
      </c>
      <c r="H143" s="16" t="s">
        <v>310</v>
      </c>
    </row>
    <row r="144" spans="1:8" ht="12" hidden="1" customHeight="1">
      <c r="A144" s="17" t="str">
        <f t="shared" si="40"/>
        <v>Z84</v>
      </c>
      <c r="B144" s="17">
        <f t="shared" si="41"/>
        <v>143</v>
      </c>
      <c r="C144" s="18" t="s">
        <v>207</v>
      </c>
      <c r="D144" s="19" t="s">
        <v>60</v>
      </c>
      <c r="E144" s="15">
        <f t="shared" si="42"/>
        <v>84</v>
      </c>
      <c r="F144" s="15" t="str">
        <f t="shared" si="43"/>
        <v>Z84</v>
      </c>
      <c r="G144" s="15" t="e">
        <f t="shared" ref="G144:G167" ca="1" si="46">VLOOKUP(C144,INDIRECT("'"&amp;D144&amp;" liga'!$A$1:$O$30"),15,FALSE)</f>
        <v>#REF!</v>
      </c>
      <c r="H144" s="16" t="s">
        <v>248</v>
      </c>
    </row>
    <row r="145" spans="1:8" ht="0.5" hidden="1" customHeight="1">
      <c r="A145" s="17" t="str">
        <f t="shared" si="40"/>
        <v>Z85</v>
      </c>
      <c r="B145" s="17">
        <f t="shared" si="41"/>
        <v>144</v>
      </c>
      <c r="C145" s="18" t="s">
        <v>144</v>
      </c>
      <c r="D145" s="19" t="s">
        <v>60</v>
      </c>
      <c r="E145" s="15">
        <f t="shared" si="42"/>
        <v>85</v>
      </c>
      <c r="F145" s="15" t="str">
        <f t="shared" si="43"/>
        <v>Z85</v>
      </c>
      <c r="G145" s="15" t="e">
        <f t="shared" ca="1" si="46"/>
        <v>#REF!</v>
      </c>
      <c r="H145" s="16" t="s">
        <v>201</v>
      </c>
    </row>
    <row r="146" spans="1:8" ht="12" hidden="1" customHeight="1">
      <c r="A146" s="17" t="str">
        <f t="shared" ref="A146:A209" si="47">F146</f>
        <v>Z86</v>
      </c>
      <c r="B146" s="17">
        <f t="shared" ref="B146:B209" si="48">ROW()-1</f>
        <v>145</v>
      </c>
      <c r="C146" s="18" t="s">
        <v>27</v>
      </c>
      <c r="D146" s="19" t="s">
        <v>60</v>
      </c>
      <c r="E146" s="15">
        <f t="shared" ref="E146:E209" si="49">IF(D146=D145,E145+1,1)</f>
        <v>86</v>
      </c>
      <c r="F146" s="15" t="str">
        <f t="shared" ref="F146:F209" si="50">CONCATENATE(D146,E146)</f>
        <v>Z86</v>
      </c>
      <c r="G146" s="15" t="e">
        <f t="shared" ca="1" si="46"/>
        <v>#REF!</v>
      </c>
      <c r="H146" s="16" t="s">
        <v>319</v>
      </c>
    </row>
    <row r="147" spans="1:8" ht="12" hidden="1" customHeight="1">
      <c r="A147" s="17" t="str">
        <f t="shared" si="47"/>
        <v>Z87</v>
      </c>
      <c r="B147" s="17">
        <f t="shared" si="48"/>
        <v>146</v>
      </c>
      <c r="C147" s="18" t="s">
        <v>193</v>
      </c>
      <c r="D147" s="19" t="s">
        <v>60</v>
      </c>
      <c r="E147" s="15">
        <f t="shared" si="49"/>
        <v>87</v>
      </c>
      <c r="F147" s="15" t="str">
        <f t="shared" si="50"/>
        <v>Z87</v>
      </c>
      <c r="G147" s="15" t="e">
        <f t="shared" ca="1" si="46"/>
        <v>#REF!</v>
      </c>
      <c r="H147" s="16" t="s">
        <v>229</v>
      </c>
    </row>
    <row r="148" spans="1:8" ht="12" hidden="1" customHeight="1">
      <c r="A148" s="17" t="str">
        <f t="shared" si="47"/>
        <v>Z88</v>
      </c>
      <c r="B148" s="17">
        <f t="shared" si="48"/>
        <v>147</v>
      </c>
      <c r="C148" s="18" t="s">
        <v>131</v>
      </c>
      <c r="D148" s="19" t="s">
        <v>60</v>
      </c>
      <c r="E148" s="15">
        <f t="shared" si="49"/>
        <v>88</v>
      </c>
      <c r="F148" s="15" t="str">
        <f t="shared" si="50"/>
        <v>Z88</v>
      </c>
      <c r="G148" s="15" t="e">
        <f t="shared" ca="1" si="46"/>
        <v>#REF!</v>
      </c>
      <c r="H148" s="16" t="s">
        <v>276</v>
      </c>
    </row>
    <row r="149" spans="1:8" ht="12" hidden="1" customHeight="1">
      <c r="A149" s="17" t="str">
        <f t="shared" si="47"/>
        <v>Z89</v>
      </c>
      <c r="B149" s="17">
        <f t="shared" si="48"/>
        <v>148</v>
      </c>
      <c r="C149" s="18" t="s">
        <v>135</v>
      </c>
      <c r="D149" s="19" t="s">
        <v>60</v>
      </c>
      <c r="E149" s="15">
        <f t="shared" si="49"/>
        <v>89</v>
      </c>
      <c r="F149" s="15" t="str">
        <f t="shared" si="50"/>
        <v>Z89</v>
      </c>
      <c r="G149" s="15" t="e">
        <f t="shared" ca="1" si="46"/>
        <v>#REF!</v>
      </c>
      <c r="H149" s="16" t="s">
        <v>290</v>
      </c>
    </row>
    <row r="150" spans="1:8" ht="12" hidden="1" customHeight="1">
      <c r="A150" s="17" t="str">
        <f t="shared" si="47"/>
        <v>Z90</v>
      </c>
      <c r="B150" s="17">
        <f t="shared" si="48"/>
        <v>149</v>
      </c>
      <c r="C150" s="18" t="s">
        <v>241</v>
      </c>
      <c r="D150" s="19" t="s">
        <v>60</v>
      </c>
      <c r="E150" s="15">
        <f t="shared" si="49"/>
        <v>90</v>
      </c>
      <c r="F150" s="15" t="str">
        <f t="shared" si="50"/>
        <v>Z90</v>
      </c>
      <c r="G150" s="15" t="e">
        <f t="shared" ca="1" si="46"/>
        <v>#REF!</v>
      </c>
      <c r="H150" s="16" t="s">
        <v>276</v>
      </c>
    </row>
    <row r="151" spans="1:8" ht="12" hidden="1" customHeight="1">
      <c r="A151" s="17" t="str">
        <f t="shared" si="47"/>
        <v>Z91</v>
      </c>
      <c r="B151" s="17">
        <f t="shared" si="48"/>
        <v>150</v>
      </c>
      <c r="C151" s="18" t="s">
        <v>128</v>
      </c>
      <c r="D151" s="19" t="s">
        <v>60</v>
      </c>
      <c r="E151" s="15">
        <f t="shared" si="49"/>
        <v>91</v>
      </c>
      <c r="F151" s="15" t="str">
        <f t="shared" si="50"/>
        <v>Z91</v>
      </c>
      <c r="G151" s="15" t="e">
        <f t="shared" ca="1" si="46"/>
        <v>#REF!</v>
      </c>
      <c r="H151" s="16" t="s">
        <v>295</v>
      </c>
    </row>
    <row r="152" spans="1:8" ht="12" hidden="1" customHeight="1">
      <c r="A152" s="17" t="str">
        <f t="shared" si="47"/>
        <v>Z92</v>
      </c>
      <c r="B152" s="17">
        <f t="shared" si="48"/>
        <v>151</v>
      </c>
      <c r="C152" s="18" t="s">
        <v>218</v>
      </c>
      <c r="D152" s="19" t="s">
        <v>60</v>
      </c>
      <c r="E152" s="15">
        <f t="shared" si="49"/>
        <v>92</v>
      </c>
      <c r="F152" s="15" t="str">
        <f t="shared" si="50"/>
        <v>Z92</v>
      </c>
      <c r="G152" s="15" t="e">
        <f t="shared" ca="1" si="46"/>
        <v>#REF!</v>
      </c>
      <c r="H152" s="16" t="s">
        <v>293</v>
      </c>
    </row>
    <row r="153" spans="1:8" ht="12" hidden="1" customHeight="1">
      <c r="A153" s="17" t="str">
        <f t="shared" si="47"/>
        <v>Z93</v>
      </c>
      <c r="B153" s="17">
        <f t="shared" si="48"/>
        <v>152</v>
      </c>
      <c r="C153" s="18" t="s">
        <v>16</v>
      </c>
      <c r="D153" s="19" t="s">
        <v>60</v>
      </c>
      <c r="E153" s="15">
        <f t="shared" si="49"/>
        <v>93</v>
      </c>
      <c r="F153" s="15" t="str">
        <f t="shared" si="50"/>
        <v>Z93</v>
      </c>
      <c r="G153" s="15" t="e">
        <f t="shared" ca="1" si="46"/>
        <v>#REF!</v>
      </c>
      <c r="H153" s="16" t="s">
        <v>217</v>
      </c>
    </row>
    <row r="154" spans="1:8" ht="12" hidden="1" customHeight="1">
      <c r="A154" s="17" t="str">
        <f t="shared" si="47"/>
        <v>Z94</v>
      </c>
      <c r="B154" s="17">
        <f t="shared" si="48"/>
        <v>153</v>
      </c>
      <c r="C154" s="18" t="s">
        <v>71</v>
      </c>
      <c r="D154" s="19" t="s">
        <v>60</v>
      </c>
      <c r="E154" s="15">
        <f t="shared" si="49"/>
        <v>94</v>
      </c>
      <c r="F154" s="15" t="str">
        <f t="shared" si="50"/>
        <v>Z94</v>
      </c>
      <c r="G154" s="15" t="e">
        <f t="shared" ca="1" si="46"/>
        <v>#REF!</v>
      </c>
    </row>
    <row r="155" spans="1:8" ht="12" hidden="1" customHeight="1">
      <c r="A155" s="17" t="str">
        <f t="shared" si="47"/>
        <v>Z95</v>
      </c>
      <c r="B155" s="17">
        <f t="shared" si="48"/>
        <v>154</v>
      </c>
      <c r="C155" s="18" t="s">
        <v>304</v>
      </c>
      <c r="D155" s="19" t="s">
        <v>60</v>
      </c>
      <c r="E155" s="15">
        <f t="shared" si="49"/>
        <v>95</v>
      </c>
      <c r="F155" s="15" t="str">
        <f t="shared" si="50"/>
        <v>Z95</v>
      </c>
      <c r="G155" s="15" t="e">
        <f t="shared" ca="1" si="46"/>
        <v>#REF!</v>
      </c>
      <c r="H155" s="16" t="s">
        <v>314</v>
      </c>
    </row>
    <row r="156" spans="1:8" ht="12" hidden="1" customHeight="1">
      <c r="A156" s="17" t="str">
        <f t="shared" si="47"/>
        <v>Z96</v>
      </c>
      <c r="B156" s="17">
        <f t="shared" si="48"/>
        <v>155</v>
      </c>
      <c r="C156" s="18" t="s">
        <v>180</v>
      </c>
      <c r="D156" s="19" t="s">
        <v>60</v>
      </c>
      <c r="E156" s="15">
        <f t="shared" si="49"/>
        <v>96</v>
      </c>
      <c r="F156" s="15" t="str">
        <f t="shared" si="50"/>
        <v>Z96</v>
      </c>
      <c r="G156" s="15" t="e">
        <f t="shared" ca="1" si="46"/>
        <v>#REF!</v>
      </c>
      <c r="H156" s="16" t="s">
        <v>277</v>
      </c>
    </row>
    <row r="157" spans="1:8" ht="12" hidden="1" customHeight="1">
      <c r="A157" s="17" t="str">
        <f t="shared" si="47"/>
        <v>Z97</v>
      </c>
      <c r="B157" s="17">
        <f t="shared" si="48"/>
        <v>156</v>
      </c>
      <c r="C157" s="18" t="s">
        <v>250</v>
      </c>
      <c r="D157" s="19" t="s">
        <v>60</v>
      </c>
      <c r="E157" s="15">
        <f t="shared" si="49"/>
        <v>97</v>
      </c>
      <c r="F157" s="15" t="str">
        <f t="shared" si="50"/>
        <v>Z97</v>
      </c>
      <c r="G157" s="15" t="e">
        <f t="shared" ca="1" si="46"/>
        <v>#REF!</v>
      </c>
      <c r="H157" s="16" t="s">
        <v>266</v>
      </c>
    </row>
    <row r="158" spans="1:8" ht="12" hidden="1" customHeight="1">
      <c r="A158" s="17" t="str">
        <f t="shared" si="47"/>
        <v>Z98</v>
      </c>
      <c r="B158" s="17">
        <f t="shared" si="48"/>
        <v>157</v>
      </c>
      <c r="C158" s="18" t="s">
        <v>315</v>
      </c>
      <c r="D158" s="19" t="s">
        <v>60</v>
      </c>
      <c r="E158" s="15">
        <f t="shared" si="49"/>
        <v>98</v>
      </c>
      <c r="F158" s="15" t="str">
        <f t="shared" si="50"/>
        <v>Z98</v>
      </c>
      <c r="G158" s="15" t="e">
        <f t="shared" ca="1" si="46"/>
        <v>#REF!</v>
      </c>
      <c r="H158" s="16" t="s">
        <v>318</v>
      </c>
    </row>
    <row r="159" spans="1:8" ht="12" hidden="1" customHeight="1">
      <c r="A159" s="17" t="str">
        <f t="shared" si="47"/>
        <v>Z99</v>
      </c>
      <c r="B159" s="17">
        <f t="shared" si="48"/>
        <v>158</v>
      </c>
      <c r="C159" s="18" t="s">
        <v>242</v>
      </c>
      <c r="D159" s="19" t="s">
        <v>60</v>
      </c>
      <c r="E159" s="15">
        <f t="shared" si="49"/>
        <v>99</v>
      </c>
      <c r="F159" s="15" t="str">
        <f t="shared" si="50"/>
        <v>Z99</v>
      </c>
      <c r="G159" s="15" t="e">
        <f t="shared" ca="1" si="46"/>
        <v>#REF!</v>
      </c>
      <c r="H159" s="16" t="s">
        <v>257</v>
      </c>
    </row>
    <row r="160" spans="1:8" ht="12" hidden="1" customHeight="1">
      <c r="A160" s="17" t="str">
        <f t="shared" si="47"/>
        <v>Z100</v>
      </c>
      <c r="B160" s="17">
        <f t="shared" si="48"/>
        <v>159</v>
      </c>
      <c r="C160" s="18" t="s">
        <v>233</v>
      </c>
      <c r="D160" s="19" t="s">
        <v>60</v>
      </c>
      <c r="E160" s="15">
        <f t="shared" si="49"/>
        <v>100</v>
      </c>
      <c r="F160" s="15" t="str">
        <f t="shared" si="50"/>
        <v>Z100</v>
      </c>
      <c r="G160" s="15" t="e">
        <f t="shared" ca="1" si="46"/>
        <v>#REF!</v>
      </c>
      <c r="H160" s="16" t="s">
        <v>249</v>
      </c>
    </row>
    <row r="161" spans="1:8" ht="12" hidden="1" customHeight="1">
      <c r="A161" s="17" t="str">
        <f t="shared" si="47"/>
        <v>Z101</v>
      </c>
      <c r="B161" s="17">
        <f t="shared" si="48"/>
        <v>160</v>
      </c>
      <c r="C161" s="18" t="s">
        <v>38</v>
      </c>
      <c r="D161" s="19" t="s">
        <v>60</v>
      </c>
      <c r="E161" s="15">
        <f t="shared" si="49"/>
        <v>101</v>
      </c>
      <c r="F161" s="15" t="str">
        <f t="shared" si="50"/>
        <v>Z101</v>
      </c>
      <c r="G161" s="15" t="e">
        <f t="shared" ca="1" si="46"/>
        <v>#REF!</v>
      </c>
    </row>
    <row r="162" spans="1:8" ht="12" hidden="1" customHeight="1">
      <c r="A162" s="17" t="str">
        <f t="shared" si="47"/>
        <v>Z102</v>
      </c>
      <c r="B162" s="17">
        <f t="shared" si="48"/>
        <v>161</v>
      </c>
      <c r="C162" s="18" t="s">
        <v>29</v>
      </c>
      <c r="D162" s="19" t="s">
        <v>60</v>
      </c>
      <c r="E162" s="15">
        <f t="shared" si="49"/>
        <v>102</v>
      </c>
      <c r="F162" s="15" t="str">
        <f t="shared" si="50"/>
        <v>Z102</v>
      </c>
      <c r="G162" s="15" t="e">
        <f t="shared" ca="1" si="46"/>
        <v>#REF!</v>
      </c>
    </row>
    <row r="163" spans="1:8" ht="7.25" hidden="1" customHeight="1">
      <c r="A163" s="17" t="str">
        <f t="shared" si="47"/>
        <v>Z103</v>
      </c>
      <c r="B163" s="17">
        <f t="shared" si="48"/>
        <v>162</v>
      </c>
      <c r="C163" s="18" t="s">
        <v>158</v>
      </c>
      <c r="D163" s="19" t="s">
        <v>60</v>
      </c>
      <c r="E163" s="15">
        <f t="shared" si="49"/>
        <v>103</v>
      </c>
      <c r="F163" s="15" t="str">
        <f t="shared" si="50"/>
        <v>Z103</v>
      </c>
      <c r="G163" s="15" t="e">
        <f t="shared" ca="1" si="46"/>
        <v>#REF!</v>
      </c>
      <c r="H163" s="16" t="s">
        <v>159</v>
      </c>
    </row>
    <row r="164" spans="1:8" ht="12" hidden="1" customHeight="1">
      <c r="A164" s="17" t="str">
        <f t="shared" si="47"/>
        <v>Z104</v>
      </c>
      <c r="B164" s="17">
        <f t="shared" si="48"/>
        <v>163</v>
      </c>
      <c r="C164" s="18" t="s">
        <v>47</v>
      </c>
      <c r="D164" s="19" t="s">
        <v>60</v>
      </c>
      <c r="E164" s="15">
        <f t="shared" si="49"/>
        <v>104</v>
      </c>
      <c r="F164" s="15" t="str">
        <f t="shared" si="50"/>
        <v>Z104</v>
      </c>
      <c r="G164" s="15" t="e">
        <f t="shared" ca="1" si="46"/>
        <v>#REF!</v>
      </c>
      <c r="H164" s="16" t="s">
        <v>281</v>
      </c>
    </row>
    <row r="165" spans="1:8" ht="12" hidden="1" customHeight="1">
      <c r="A165" s="17" t="str">
        <f t="shared" si="47"/>
        <v>Z105</v>
      </c>
      <c r="B165" s="17">
        <f t="shared" si="48"/>
        <v>164</v>
      </c>
      <c r="C165" s="18" t="s">
        <v>70</v>
      </c>
      <c r="D165" s="19" t="s">
        <v>60</v>
      </c>
      <c r="E165" s="15">
        <f t="shared" si="49"/>
        <v>105</v>
      </c>
      <c r="F165" s="15" t="str">
        <f t="shared" si="50"/>
        <v>Z105</v>
      </c>
      <c r="G165" s="15" t="e">
        <f t="shared" ca="1" si="46"/>
        <v>#REF!</v>
      </c>
      <c r="H165" s="16" t="s">
        <v>244</v>
      </c>
    </row>
    <row r="166" spans="1:8" ht="12" hidden="1" customHeight="1">
      <c r="A166" s="17" t="str">
        <f t="shared" si="47"/>
        <v>Z106</v>
      </c>
      <c r="B166" s="17">
        <f t="shared" si="48"/>
        <v>165</v>
      </c>
      <c r="C166" s="18" t="s">
        <v>203</v>
      </c>
      <c r="D166" s="19" t="s">
        <v>60</v>
      </c>
      <c r="E166" s="15">
        <f t="shared" si="49"/>
        <v>106</v>
      </c>
      <c r="F166" s="15" t="str">
        <f t="shared" si="50"/>
        <v>Z106</v>
      </c>
      <c r="G166" s="15" t="e">
        <f t="shared" ca="1" si="46"/>
        <v>#REF!</v>
      </c>
      <c r="H166" s="16" t="s">
        <v>237</v>
      </c>
    </row>
    <row r="167" spans="1:8" ht="12" hidden="1" customHeight="1">
      <c r="A167" s="17" t="str">
        <f t="shared" si="47"/>
        <v>Z107</v>
      </c>
      <c r="B167" s="17">
        <f t="shared" si="48"/>
        <v>166</v>
      </c>
      <c r="C167" s="18" t="s">
        <v>151</v>
      </c>
      <c r="D167" s="19" t="s">
        <v>60</v>
      </c>
      <c r="E167" s="15">
        <f t="shared" si="49"/>
        <v>107</v>
      </c>
      <c r="F167" s="15" t="str">
        <f t="shared" si="50"/>
        <v>Z107</v>
      </c>
      <c r="G167" s="15" t="e">
        <f t="shared" ca="1" si="46"/>
        <v>#REF!</v>
      </c>
      <c r="H167" s="16" t="s">
        <v>196</v>
      </c>
    </row>
    <row r="168" spans="1:8" ht="12" hidden="1" customHeight="1">
      <c r="A168" s="17" t="str">
        <f t="shared" si="47"/>
        <v>Z108</v>
      </c>
      <c r="B168" s="17">
        <f t="shared" si="48"/>
        <v>167</v>
      </c>
      <c r="C168" s="18" t="s">
        <v>23</v>
      </c>
      <c r="D168" s="19" t="s">
        <v>60</v>
      </c>
      <c r="E168" s="15">
        <f t="shared" si="49"/>
        <v>108</v>
      </c>
      <c r="F168" s="15" t="str">
        <f t="shared" si="50"/>
        <v>Z108</v>
      </c>
      <c r="G168" s="15" t="e">
        <f ca="1">VLOOKUP(C168,INDIRECT("'"&amp;D168&amp;" liga'!$A$1:$P$33"),16,FALSE)</f>
        <v>#REF!</v>
      </c>
      <c r="H168" s="16" t="s">
        <v>316</v>
      </c>
    </row>
    <row r="169" spans="1:8" ht="12" hidden="1" customHeight="1">
      <c r="A169" s="17" t="str">
        <f t="shared" si="47"/>
        <v>Z109</v>
      </c>
      <c r="B169" s="17">
        <f t="shared" si="48"/>
        <v>168</v>
      </c>
      <c r="C169" s="18" t="s">
        <v>238</v>
      </c>
      <c r="D169" s="19" t="s">
        <v>60</v>
      </c>
      <c r="E169" s="15">
        <f t="shared" si="49"/>
        <v>109</v>
      </c>
      <c r="F169" s="15" t="str">
        <f t="shared" si="50"/>
        <v>Z109</v>
      </c>
      <c r="G169" s="15" t="e">
        <f t="shared" ref="G169:G190" ca="1" si="51">VLOOKUP(C169,INDIRECT("'"&amp;D169&amp;" liga'!$A$1:$O$30"),15,FALSE)</f>
        <v>#REF!</v>
      </c>
      <c r="H169" s="16" t="s">
        <v>264</v>
      </c>
    </row>
    <row r="170" spans="1:8" ht="12" hidden="1" customHeight="1">
      <c r="A170" s="17" t="str">
        <f t="shared" si="47"/>
        <v>Z110</v>
      </c>
      <c r="B170" s="17">
        <f t="shared" si="48"/>
        <v>169</v>
      </c>
      <c r="C170" s="18" t="s">
        <v>90</v>
      </c>
      <c r="D170" s="19" t="s">
        <v>60</v>
      </c>
      <c r="E170" s="15">
        <f t="shared" si="49"/>
        <v>110</v>
      </c>
      <c r="F170" s="15" t="str">
        <f t="shared" si="50"/>
        <v>Z110</v>
      </c>
      <c r="G170" s="15" t="e">
        <f t="shared" ca="1" si="51"/>
        <v>#REF!</v>
      </c>
      <c r="H170" s="16" t="s">
        <v>279</v>
      </c>
    </row>
    <row r="171" spans="1:8" ht="12" hidden="1" customHeight="1">
      <c r="A171" s="17" t="str">
        <f t="shared" si="47"/>
        <v>Z111</v>
      </c>
      <c r="B171" s="17">
        <f t="shared" si="48"/>
        <v>170</v>
      </c>
      <c r="C171" s="18" t="s">
        <v>226</v>
      </c>
      <c r="D171" s="19" t="s">
        <v>60</v>
      </c>
      <c r="E171" s="15">
        <f t="shared" si="49"/>
        <v>111</v>
      </c>
      <c r="F171" s="15" t="str">
        <f t="shared" si="50"/>
        <v>Z111</v>
      </c>
      <c r="G171" s="15" t="e">
        <f t="shared" ca="1" si="51"/>
        <v>#REF!</v>
      </c>
      <c r="H171" s="16" t="s">
        <v>296</v>
      </c>
    </row>
    <row r="172" spans="1:8" ht="12" hidden="1" customHeight="1">
      <c r="A172" s="17" t="str">
        <f t="shared" si="47"/>
        <v>Z112</v>
      </c>
      <c r="B172" s="17">
        <f t="shared" si="48"/>
        <v>171</v>
      </c>
      <c r="C172" s="18" t="s">
        <v>226</v>
      </c>
      <c r="D172" s="19" t="s">
        <v>60</v>
      </c>
      <c r="E172" s="15">
        <f t="shared" si="49"/>
        <v>112</v>
      </c>
      <c r="F172" s="15" t="str">
        <f t="shared" si="50"/>
        <v>Z112</v>
      </c>
      <c r="G172" s="15" t="e">
        <f t="shared" ca="1" si="51"/>
        <v>#REF!</v>
      </c>
      <c r="H172" s="16" t="s">
        <v>276</v>
      </c>
    </row>
    <row r="173" spans="1:8" ht="12" hidden="1" customHeight="1">
      <c r="A173" s="17" t="str">
        <f t="shared" si="47"/>
        <v>Z113</v>
      </c>
      <c r="B173" s="17">
        <f t="shared" si="48"/>
        <v>172</v>
      </c>
      <c r="C173" s="18" t="s">
        <v>275</v>
      </c>
      <c r="D173" s="19" t="s">
        <v>60</v>
      </c>
      <c r="E173" s="15">
        <f t="shared" si="49"/>
        <v>113</v>
      </c>
      <c r="F173" s="15" t="str">
        <f t="shared" si="50"/>
        <v>Z113</v>
      </c>
      <c r="G173" s="15" t="e">
        <f t="shared" ca="1" si="51"/>
        <v>#REF!</v>
      </c>
    </row>
    <row r="174" spans="1:8" ht="12" hidden="1" customHeight="1">
      <c r="A174" s="17" t="str">
        <f t="shared" si="47"/>
        <v>Z114</v>
      </c>
      <c r="B174" s="17">
        <f t="shared" si="48"/>
        <v>173</v>
      </c>
      <c r="C174" s="18" t="s">
        <v>220</v>
      </c>
      <c r="D174" s="19" t="s">
        <v>60</v>
      </c>
      <c r="E174" s="15">
        <f t="shared" si="49"/>
        <v>114</v>
      </c>
      <c r="F174" s="15" t="str">
        <f t="shared" si="50"/>
        <v>Z114</v>
      </c>
      <c r="G174" s="15" t="e">
        <f t="shared" ca="1" si="51"/>
        <v>#REF!</v>
      </c>
      <c r="H174" s="16" t="s">
        <v>248</v>
      </c>
    </row>
    <row r="175" spans="1:8" ht="12" hidden="1" customHeight="1">
      <c r="A175" s="17" t="str">
        <f t="shared" si="47"/>
        <v>Z115</v>
      </c>
      <c r="B175" s="17">
        <f t="shared" si="48"/>
        <v>174</v>
      </c>
      <c r="C175" s="18" t="s">
        <v>94</v>
      </c>
      <c r="D175" s="19" t="s">
        <v>60</v>
      </c>
      <c r="E175" s="15">
        <f t="shared" si="49"/>
        <v>115</v>
      </c>
      <c r="F175" s="15" t="str">
        <f t="shared" si="50"/>
        <v>Z115</v>
      </c>
      <c r="G175" s="15" t="e">
        <f t="shared" ca="1" si="51"/>
        <v>#REF!</v>
      </c>
      <c r="H175" s="16" t="s">
        <v>248</v>
      </c>
    </row>
    <row r="176" spans="1:8" ht="12" hidden="1" customHeight="1">
      <c r="A176" s="17" t="str">
        <f t="shared" si="47"/>
        <v>Z116</v>
      </c>
      <c r="B176" s="17">
        <f t="shared" si="48"/>
        <v>175</v>
      </c>
      <c r="C176" s="18" t="s">
        <v>270</v>
      </c>
      <c r="D176" s="19" t="s">
        <v>60</v>
      </c>
      <c r="E176" s="15">
        <f t="shared" si="49"/>
        <v>116</v>
      </c>
      <c r="F176" s="15" t="str">
        <f t="shared" si="50"/>
        <v>Z116</v>
      </c>
      <c r="G176" s="15" t="e">
        <f t="shared" ca="1" si="51"/>
        <v>#REF!</v>
      </c>
      <c r="H176" s="16" t="s">
        <v>305</v>
      </c>
    </row>
    <row r="177" spans="1:8" ht="12" hidden="1" customHeight="1">
      <c r="A177" s="17" t="str">
        <f t="shared" si="47"/>
        <v>Z117</v>
      </c>
      <c r="B177" s="17">
        <f t="shared" si="48"/>
        <v>176</v>
      </c>
      <c r="C177" s="18" t="s">
        <v>14</v>
      </c>
      <c r="D177" s="19" t="s">
        <v>60</v>
      </c>
      <c r="E177" s="15">
        <f t="shared" si="49"/>
        <v>117</v>
      </c>
      <c r="F177" s="15" t="str">
        <f t="shared" si="50"/>
        <v>Z117</v>
      </c>
      <c r="G177" s="15" t="e">
        <f t="shared" ca="1" si="51"/>
        <v>#REF!</v>
      </c>
    </row>
    <row r="178" spans="1:8" ht="12" hidden="1" customHeight="1">
      <c r="A178" s="17" t="str">
        <f t="shared" si="47"/>
        <v>Z118</v>
      </c>
      <c r="B178" s="17">
        <f t="shared" si="48"/>
        <v>177</v>
      </c>
      <c r="C178" s="18" t="s">
        <v>17</v>
      </c>
      <c r="D178" s="19" t="s">
        <v>60</v>
      </c>
      <c r="E178" s="15">
        <f t="shared" si="49"/>
        <v>118</v>
      </c>
      <c r="F178" s="15" t="str">
        <f t="shared" si="50"/>
        <v>Z118</v>
      </c>
      <c r="G178" s="15" t="e">
        <f t="shared" ca="1" si="51"/>
        <v>#REF!</v>
      </c>
      <c r="H178" s="16" t="s">
        <v>308</v>
      </c>
    </row>
    <row r="179" spans="1:8" ht="12" hidden="1" customHeight="1">
      <c r="A179" s="17" t="str">
        <f t="shared" si="47"/>
        <v>Z119</v>
      </c>
      <c r="B179" s="17">
        <f t="shared" si="48"/>
        <v>178</v>
      </c>
      <c r="C179" s="18" t="s">
        <v>194</v>
      </c>
      <c r="D179" s="19" t="s">
        <v>60</v>
      </c>
      <c r="E179" s="15">
        <f t="shared" si="49"/>
        <v>119</v>
      </c>
      <c r="F179" s="15" t="str">
        <f t="shared" si="50"/>
        <v>Z119</v>
      </c>
      <c r="G179" s="15" t="e">
        <f t="shared" ca="1" si="51"/>
        <v>#REF!</v>
      </c>
      <c r="H179" s="16" t="s">
        <v>196</v>
      </c>
    </row>
    <row r="180" spans="1:8" ht="12" hidden="1" customHeight="1">
      <c r="A180" s="17" t="str">
        <f t="shared" si="47"/>
        <v>Z120</v>
      </c>
      <c r="B180" s="17">
        <f t="shared" si="48"/>
        <v>179</v>
      </c>
      <c r="C180" s="18" t="s">
        <v>251</v>
      </c>
      <c r="D180" s="19" t="s">
        <v>60</v>
      </c>
      <c r="E180" s="15">
        <f t="shared" si="49"/>
        <v>120</v>
      </c>
      <c r="F180" s="15" t="str">
        <f t="shared" si="50"/>
        <v>Z120</v>
      </c>
      <c r="G180" s="15" t="e">
        <f t="shared" ca="1" si="51"/>
        <v>#REF!</v>
      </c>
      <c r="H180" s="16" t="s">
        <v>314</v>
      </c>
    </row>
    <row r="181" spans="1:8" ht="12" hidden="1" customHeight="1">
      <c r="A181" s="17" t="str">
        <f t="shared" si="47"/>
        <v>Z121</v>
      </c>
      <c r="B181" s="17">
        <f t="shared" si="48"/>
        <v>180</v>
      </c>
      <c r="C181" s="18" t="s">
        <v>132</v>
      </c>
      <c r="D181" s="19" t="s">
        <v>60</v>
      </c>
      <c r="E181" s="15">
        <f t="shared" si="49"/>
        <v>121</v>
      </c>
      <c r="F181" s="15" t="str">
        <f t="shared" si="50"/>
        <v>Z121</v>
      </c>
      <c r="G181" s="15" t="e">
        <f t="shared" ca="1" si="51"/>
        <v>#REF!</v>
      </c>
      <c r="H181" s="16" t="s">
        <v>173</v>
      </c>
    </row>
    <row r="182" spans="1:8" ht="12" hidden="1" customHeight="1">
      <c r="A182" s="17" t="str">
        <f t="shared" si="47"/>
        <v>Z122</v>
      </c>
      <c r="B182" s="17">
        <f t="shared" si="48"/>
        <v>181</v>
      </c>
      <c r="C182" s="18" t="s">
        <v>82</v>
      </c>
      <c r="D182" s="19" t="s">
        <v>60</v>
      </c>
      <c r="E182" s="15">
        <f t="shared" si="49"/>
        <v>122</v>
      </c>
      <c r="F182" s="15" t="str">
        <f t="shared" si="50"/>
        <v>Z122</v>
      </c>
      <c r="G182" s="15" t="e">
        <f t="shared" ca="1" si="51"/>
        <v>#REF!</v>
      </c>
    </row>
    <row r="183" spans="1:8" ht="12" hidden="1" customHeight="1">
      <c r="A183" s="17" t="str">
        <f t="shared" si="47"/>
        <v>Z123</v>
      </c>
      <c r="B183" s="17">
        <f t="shared" si="48"/>
        <v>182</v>
      </c>
      <c r="C183" s="18" t="s">
        <v>286</v>
      </c>
      <c r="D183" s="19" t="s">
        <v>60</v>
      </c>
      <c r="E183" s="15">
        <f t="shared" si="49"/>
        <v>123</v>
      </c>
      <c r="F183" s="15" t="str">
        <f t="shared" si="50"/>
        <v>Z123</v>
      </c>
      <c r="G183" s="15" t="e">
        <f t="shared" ca="1" si="51"/>
        <v>#REF!</v>
      </c>
      <c r="H183" s="16" t="s">
        <v>298</v>
      </c>
    </row>
    <row r="184" spans="1:8" ht="12" hidden="1" customHeight="1">
      <c r="A184" s="17" t="str">
        <f t="shared" si="47"/>
        <v>Z124</v>
      </c>
      <c r="B184" s="17">
        <f t="shared" si="48"/>
        <v>183</v>
      </c>
      <c r="C184" s="18" t="s">
        <v>225</v>
      </c>
      <c r="D184" s="19" t="s">
        <v>60</v>
      </c>
      <c r="E184" s="15">
        <f t="shared" si="49"/>
        <v>124</v>
      </c>
      <c r="F184" s="15" t="str">
        <f t="shared" si="50"/>
        <v>Z124</v>
      </c>
      <c r="G184" s="15" t="e">
        <f t="shared" ca="1" si="51"/>
        <v>#REF!</v>
      </c>
      <c r="H184" s="16" t="s">
        <v>249</v>
      </c>
    </row>
    <row r="185" spans="1:8" ht="12" hidden="1" customHeight="1">
      <c r="A185" s="17" t="str">
        <f t="shared" si="47"/>
        <v>Z125</v>
      </c>
      <c r="B185" s="17">
        <f t="shared" si="48"/>
        <v>184</v>
      </c>
      <c r="C185" s="18" t="s">
        <v>74</v>
      </c>
      <c r="D185" s="19" t="s">
        <v>60</v>
      </c>
      <c r="E185" s="15">
        <f t="shared" si="49"/>
        <v>125</v>
      </c>
      <c r="F185" s="15" t="str">
        <f t="shared" si="50"/>
        <v>Z125</v>
      </c>
      <c r="G185" s="15" t="e">
        <f t="shared" ca="1" si="51"/>
        <v>#REF!</v>
      </c>
    </row>
    <row r="186" spans="1:8" ht="12" hidden="1" customHeight="1">
      <c r="A186" s="17" t="str">
        <f t="shared" si="47"/>
        <v>Z126</v>
      </c>
      <c r="B186" s="17">
        <f t="shared" si="48"/>
        <v>185</v>
      </c>
      <c r="C186" s="18" t="s">
        <v>152</v>
      </c>
      <c r="D186" s="19" t="s">
        <v>60</v>
      </c>
      <c r="E186" s="15">
        <f t="shared" si="49"/>
        <v>126</v>
      </c>
      <c r="F186" s="15" t="str">
        <f t="shared" si="50"/>
        <v>Z126</v>
      </c>
      <c r="G186" s="15" t="e">
        <f t="shared" ca="1" si="51"/>
        <v>#REF!</v>
      </c>
      <c r="H186" s="16" t="s">
        <v>170</v>
      </c>
    </row>
    <row r="187" spans="1:8" ht="12" hidden="1" customHeight="1">
      <c r="A187" s="17" t="str">
        <f t="shared" si="47"/>
        <v>Z127</v>
      </c>
      <c r="B187" s="17">
        <f t="shared" si="48"/>
        <v>186</v>
      </c>
      <c r="C187" s="18" t="s">
        <v>111</v>
      </c>
      <c r="D187" s="19" t="s">
        <v>60</v>
      </c>
      <c r="E187" s="15">
        <f t="shared" si="49"/>
        <v>127</v>
      </c>
      <c r="F187" s="15" t="str">
        <f t="shared" si="50"/>
        <v>Z127</v>
      </c>
      <c r="G187" s="15" t="e">
        <f t="shared" ca="1" si="51"/>
        <v>#REF!</v>
      </c>
      <c r="H187" s="16" t="s">
        <v>170</v>
      </c>
    </row>
    <row r="188" spans="1:8" ht="12" hidden="1" customHeight="1">
      <c r="A188" s="17" t="str">
        <f t="shared" si="47"/>
        <v>Z128</v>
      </c>
      <c r="B188" s="17">
        <f t="shared" si="48"/>
        <v>187</v>
      </c>
      <c r="C188" s="18" t="s">
        <v>174</v>
      </c>
      <c r="D188" s="19" t="s">
        <v>60</v>
      </c>
      <c r="E188" s="15">
        <f t="shared" si="49"/>
        <v>128</v>
      </c>
      <c r="F188" s="15" t="str">
        <f t="shared" si="50"/>
        <v>Z128</v>
      </c>
      <c r="G188" s="15" t="e">
        <f t="shared" ca="1" si="51"/>
        <v>#REF!</v>
      </c>
      <c r="H188" s="16" t="s">
        <v>210</v>
      </c>
    </row>
    <row r="189" spans="1:8" ht="12" hidden="1" customHeight="1">
      <c r="A189" s="17" t="str">
        <f t="shared" si="47"/>
        <v>Z129</v>
      </c>
      <c r="B189" s="17">
        <f t="shared" si="48"/>
        <v>188</v>
      </c>
      <c r="C189" s="18" t="s">
        <v>252</v>
      </c>
      <c r="D189" s="19" t="s">
        <v>60</v>
      </c>
      <c r="E189" s="15">
        <f t="shared" si="49"/>
        <v>129</v>
      </c>
      <c r="F189" s="15" t="str">
        <f t="shared" si="50"/>
        <v>Z129</v>
      </c>
      <c r="G189" s="15" t="e">
        <f t="shared" ca="1" si="51"/>
        <v>#REF!</v>
      </c>
      <c r="H189" s="16" t="s">
        <v>267</v>
      </c>
    </row>
    <row r="190" spans="1:8" ht="12" hidden="1" customHeight="1">
      <c r="A190" s="17" t="str">
        <f t="shared" si="47"/>
        <v>Z130</v>
      </c>
      <c r="B190" s="17">
        <f t="shared" si="48"/>
        <v>189</v>
      </c>
      <c r="C190" s="18" t="s">
        <v>302</v>
      </c>
      <c r="D190" s="19" t="s">
        <v>60</v>
      </c>
      <c r="E190" s="15">
        <f t="shared" si="49"/>
        <v>130</v>
      </c>
      <c r="F190" s="15" t="str">
        <f t="shared" si="50"/>
        <v>Z130</v>
      </c>
      <c r="G190" s="15" t="e">
        <f t="shared" ca="1" si="51"/>
        <v>#REF!</v>
      </c>
      <c r="H190" s="16" t="s">
        <v>317</v>
      </c>
    </row>
    <row r="191" spans="1:8" ht="4.75" hidden="1" customHeight="1">
      <c r="A191" s="17" t="str">
        <f t="shared" si="47"/>
        <v>Z131</v>
      </c>
      <c r="B191" s="17">
        <f t="shared" si="48"/>
        <v>190</v>
      </c>
      <c r="C191" s="18" t="s">
        <v>283</v>
      </c>
      <c r="D191" s="19" t="s">
        <v>60</v>
      </c>
      <c r="E191" s="15">
        <f t="shared" si="49"/>
        <v>131</v>
      </c>
      <c r="F191" s="15" t="str">
        <f t="shared" si="50"/>
        <v>Z131</v>
      </c>
      <c r="G191" s="15" t="e">
        <f ca="1">VLOOKUP(C191,INDIRECT("'"&amp;D191&amp;" liga'!$A$1:$P$33"),16,FALSE)</f>
        <v>#REF!</v>
      </c>
      <c r="H191" s="16" t="s">
        <v>288</v>
      </c>
    </row>
    <row r="192" spans="1:8" ht="12" hidden="1" customHeight="1">
      <c r="A192" s="17" t="str">
        <f t="shared" si="47"/>
        <v>Z132</v>
      </c>
      <c r="B192" s="17">
        <f t="shared" si="48"/>
        <v>191</v>
      </c>
      <c r="C192" s="18" t="s">
        <v>87</v>
      </c>
      <c r="D192" s="19" t="s">
        <v>60</v>
      </c>
      <c r="E192" s="15">
        <f t="shared" si="49"/>
        <v>132</v>
      </c>
      <c r="F192" s="15" t="str">
        <f t="shared" si="50"/>
        <v>Z132</v>
      </c>
      <c r="G192" s="15" t="e">
        <f t="shared" ref="G192:G223" ca="1" si="52">VLOOKUP(C192,INDIRECT("'"&amp;D192&amp;" liga'!$A$1:$O$30"),15,FALSE)</f>
        <v>#REF!</v>
      </c>
    </row>
    <row r="193" spans="1:8" ht="12" hidden="1" customHeight="1">
      <c r="A193" s="17" t="str">
        <f t="shared" si="47"/>
        <v>Z133</v>
      </c>
      <c r="B193" s="17">
        <f t="shared" si="48"/>
        <v>192</v>
      </c>
      <c r="C193" s="18" t="s">
        <v>199</v>
      </c>
      <c r="D193" s="19" t="s">
        <v>60</v>
      </c>
      <c r="E193" s="15">
        <f t="shared" si="49"/>
        <v>133</v>
      </c>
      <c r="F193" s="15" t="str">
        <f t="shared" si="50"/>
        <v>Z133</v>
      </c>
      <c r="G193" s="15" t="e">
        <f t="shared" ca="1" si="52"/>
        <v>#REF!</v>
      </c>
      <c r="H193" s="16" t="s">
        <v>229</v>
      </c>
    </row>
    <row r="194" spans="1:8" ht="12" hidden="1" customHeight="1">
      <c r="A194" s="17" t="str">
        <f t="shared" si="47"/>
        <v>Z134</v>
      </c>
      <c r="B194" s="17">
        <f t="shared" si="48"/>
        <v>193</v>
      </c>
      <c r="C194" s="18" t="s">
        <v>103</v>
      </c>
      <c r="D194" s="19" t="s">
        <v>60</v>
      </c>
      <c r="E194" s="15">
        <f t="shared" si="49"/>
        <v>134</v>
      </c>
      <c r="F194" s="15" t="str">
        <f t="shared" si="50"/>
        <v>Z134</v>
      </c>
      <c r="G194" s="15" t="e">
        <f t="shared" ca="1" si="52"/>
        <v>#REF!</v>
      </c>
    </row>
    <row r="195" spans="1:8" ht="12" hidden="1" customHeight="1">
      <c r="A195" s="17" t="str">
        <f t="shared" si="47"/>
        <v>Z135</v>
      </c>
      <c r="B195" s="17">
        <f t="shared" si="48"/>
        <v>194</v>
      </c>
      <c r="C195" s="18" t="s">
        <v>285</v>
      </c>
      <c r="D195" s="19" t="s">
        <v>60</v>
      </c>
      <c r="E195" s="15">
        <f t="shared" si="49"/>
        <v>135</v>
      </c>
      <c r="F195" s="15" t="str">
        <f t="shared" si="50"/>
        <v>Z135</v>
      </c>
      <c r="G195" s="15" t="e">
        <f t="shared" ca="1" si="52"/>
        <v>#REF!</v>
      </c>
      <c r="H195" s="16" t="s">
        <v>298</v>
      </c>
    </row>
    <row r="196" spans="1:8" ht="12" hidden="1" customHeight="1">
      <c r="A196" s="17" t="str">
        <f t="shared" si="47"/>
        <v>Z136</v>
      </c>
      <c r="B196" s="17">
        <f t="shared" si="48"/>
        <v>195</v>
      </c>
      <c r="C196" s="18" t="s">
        <v>191</v>
      </c>
      <c r="D196" s="19" t="s">
        <v>60</v>
      </c>
      <c r="E196" s="15">
        <f t="shared" si="49"/>
        <v>136</v>
      </c>
      <c r="F196" s="15" t="str">
        <f t="shared" si="50"/>
        <v>Z136</v>
      </c>
      <c r="G196" s="15" t="e">
        <f t="shared" ca="1" si="52"/>
        <v>#REF!</v>
      </c>
      <c r="H196" s="16" t="s">
        <v>212</v>
      </c>
    </row>
    <row r="197" spans="1:8" ht="12" hidden="1" customHeight="1">
      <c r="A197" s="17" t="str">
        <f t="shared" si="47"/>
        <v>Z137</v>
      </c>
      <c r="B197" s="17">
        <f t="shared" si="48"/>
        <v>196</v>
      </c>
      <c r="C197" s="18" t="s">
        <v>234</v>
      </c>
      <c r="D197" s="19" t="s">
        <v>60</v>
      </c>
      <c r="E197" s="15">
        <f t="shared" si="49"/>
        <v>137</v>
      </c>
      <c r="F197" s="15" t="str">
        <f t="shared" si="50"/>
        <v>Z137</v>
      </c>
      <c r="G197" s="15" t="e">
        <f t="shared" ca="1" si="52"/>
        <v>#REF!</v>
      </c>
      <c r="H197" s="16" t="s">
        <v>248</v>
      </c>
    </row>
    <row r="198" spans="1:8" ht="12" hidden="1" customHeight="1">
      <c r="A198" s="17" t="str">
        <f t="shared" si="47"/>
        <v>Z138</v>
      </c>
      <c r="B198" s="17">
        <f t="shared" si="48"/>
        <v>197</v>
      </c>
      <c r="C198" s="18" t="s">
        <v>24</v>
      </c>
      <c r="D198" s="19" t="s">
        <v>60</v>
      </c>
      <c r="E198" s="15">
        <f t="shared" si="49"/>
        <v>138</v>
      </c>
      <c r="F198" s="15" t="str">
        <f t="shared" si="50"/>
        <v>Z138</v>
      </c>
      <c r="G198" s="15" t="e">
        <f t="shared" ca="1" si="52"/>
        <v>#REF!</v>
      </c>
    </row>
    <row r="199" spans="1:8" ht="12" hidden="1" customHeight="1">
      <c r="A199" s="17" t="str">
        <f t="shared" si="47"/>
        <v>Z139</v>
      </c>
      <c r="B199" s="17">
        <f t="shared" si="48"/>
        <v>198</v>
      </c>
      <c r="C199" s="18" t="s">
        <v>181</v>
      </c>
      <c r="D199" s="19" t="s">
        <v>60</v>
      </c>
      <c r="E199" s="15">
        <f t="shared" si="49"/>
        <v>139</v>
      </c>
      <c r="F199" s="15" t="str">
        <f t="shared" si="50"/>
        <v>Z139</v>
      </c>
      <c r="G199" s="15" t="e">
        <f t="shared" ca="1" si="52"/>
        <v>#REF!</v>
      </c>
      <c r="H199" s="16" t="s">
        <v>202</v>
      </c>
    </row>
    <row r="200" spans="1:8" ht="12" hidden="1" customHeight="1">
      <c r="A200" s="17" t="str">
        <f t="shared" si="47"/>
        <v>Z140</v>
      </c>
      <c r="B200" s="17">
        <f t="shared" si="48"/>
        <v>199</v>
      </c>
      <c r="C200" s="18" t="s">
        <v>169</v>
      </c>
      <c r="D200" s="19" t="s">
        <v>60</v>
      </c>
      <c r="E200" s="15">
        <f t="shared" si="49"/>
        <v>140</v>
      </c>
      <c r="F200" s="15" t="str">
        <f t="shared" si="50"/>
        <v>Z140</v>
      </c>
      <c r="G200" s="15" t="e">
        <f t="shared" ca="1" si="52"/>
        <v>#REF!</v>
      </c>
      <c r="H200" s="16" t="s">
        <v>267</v>
      </c>
    </row>
    <row r="201" spans="1:8" ht="12" hidden="1" customHeight="1">
      <c r="A201" s="17" t="str">
        <f t="shared" si="47"/>
        <v>Z141</v>
      </c>
      <c r="B201" s="17">
        <f t="shared" si="48"/>
        <v>200</v>
      </c>
      <c r="C201" s="18" t="s">
        <v>80</v>
      </c>
      <c r="D201" s="19" t="s">
        <v>60</v>
      </c>
      <c r="E201" s="15">
        <f t="shared" si="49"/>
        <v>141</v>
      </c>
      <c r="F201" s="15" t="str">
        <f t="shared" si="50"/>
        <v>Z141</v>
      </c>
      <c r="G201" s="15" t="e">
        <f t="shared" ca="1" si="52"/>
        <v>#REF!</v>
      </c>
    </row>
    <row r="202" spans="1:8" ht="12" hidden="1" customHeight="1">
      <c r="A202" s="17" t="str">
        <f t="shared" si="47"/>
        <v>Z142</v>
      </c>
      <c r="B202" s="17">
        <f t="shared" si="48"/>
        <v>201</v>
      </c>
      <c r="C202" s="18" t="s">
        <v>215</v>
      </c>
      <c r="D202" s="19" t="s">
        <v>60</v>
      </c>
      <c r="E202" s="15">
        <f t="shared" si="49"/>
        <v>142</v>
      </c>
      <c r="F202" s="15" t="str">
        <f t="shared" si="50"/>
        <v>Z142</v>
      </c>
      <c r="G202" s="15" t="e">
        <f t="shared" ca="1" si="52"/>
        <v>#REF!</v>
      </c>
      <c r="H202" s="16" t="s">
        <v>224</v>
      </c>
    </row>
    <row r="203" spans="1:8" ht="12" hidden="1" customHeight="1">
      <c r="A203" s="17" t="str">
        <f t="shared" si="47"/>
        <v>Z143</v>
      </c>
      <c r="B203" s="17">
        <f t="shared" si="48"/>
        <v>202</v>
      </c>
      <c r="C203" s="18" t="s">
        <v>108</v>
      </c>
      <c r="D203" s="19" t="s">
        <v>60</v>
      </c>
      <c r="E203" s="15">
        <f t="shared" si="49"/>
        <v>143</v>
      </c>
      <c r="F203" s="15" t="str">
        <f t="shared" si="50"/>
        <v>Z143</v>
      </c>
      <c r="G203" s="15" t="e">
        <f t="shared" ca="1" si="52"/>
        <v>#REF!</v>
      </c>
      <c r="H203" s="16" t="s">
        <v>294</v>
      </c>
    </row>
    <row r="204" spans="1:8" ht="12" hidden="1" customHeight="1">
      <c r="A204" s="17" t="str">
        <f t="shared" si="47"/>
        <v>Z144</v>
      </c>
      <c r="B204" s="17">
        <f t="shared" si="48"/>
        <v>203</v>
      </c>
      <c r="C204" s="18" t="s">
        <v>86</v>
      </c>
      <c r="D204" s="19" t="s">
        <v>60</v>
      </c>
      <c r="E204" s="15">
        <f t="shared" si="49"/>
        <v>144</v>
      </c>
      <c r="F204" s="15" t="str">
        <f t="shared" si="50"/>
        <v>Z144</v>
      </c>
      <c r="G204" s="15" t="e">
        <f t="shared" ca="1" si="52"/>
        <v>#REF!</v>
      </c>
    </row>
    <row r="205" spans="1:8" ht="12" hidden="1" customHeight="1">
      <c r="A205" s="17" t="str">
        <f t="shared" si="47"/>
        <v>Z145</v>
      </c>
      <c r="B205" s="17">
        <f t="shared" si="48"/>
        <v>204</v>
      </c>
      <c r="C205" s="18" t="s">
        <v>118</v>
      </c>
      <c r="D205" s="19" t="s">
        <v>60</v>
      </c>
      <c r="E205" s="15">
        <f t="shared" si="49"/>
        <v>145</v>
      </c>
      <c r="F205" s="15" t="str">
        <f t="shared" si="50"/>
        <v>Z145</v>
      </c>
      <c r="G205" s="15" t="e">
        <f t="shared" ca="1" si="52"/>
        <v>#REF!</v>
      </c>
    </row>
    <row r="206" spans="1:8" ht="12" hidden="1" customHeight="1">
      <c r="A206" s="17" t="str">
        <f t="shared" si="47"/>
        <v>Z146</v>
      </c>
      <c r="B206" s="17">
        <f t="shared" si="48"/>
        <v>205</v>
      </c>
      <c r="C206" s="18" t="s">
        <v>117</v>
      </c>
      <c r="D206" s="19" t="s">
        <v>60</v>
      </c>
      <c r="E206" s="15">
        <f t="shared" si="49"/>
        <v>146</v>
      </c>
      <c r="F206" s="15" t="str">
        <f t="shared" si="50"/>
        <v>Z146</v>
      </c>
      <c r="G206" s="15" t="e">
        <f t="shared" ca="1" si="52"/>
        <v>#REF!</v>
      </c>
    </row>
    <row r="207" spans="1:8" ht="12" hidden="1" customHeight="1">
      <c r="A207" s="17" t="str">
        <f t="shared" si="47"/>
        <v>Z147</v>
      </c>
      <c r="B207" s="17">
        <f t="shared" si="48"/>
        <v>206</v>
      </c>
      <c r="C207" s="18" t="s">
        <v>52</v>
      </c>
      <c r="D207" s="19" t="s">
        <v>60</v>
      </c>
      <c r="E207" s="15">
        <f t="shared" si="49"/>
        <v>147</v>
      </c>
      <c r="F207" s="15" t="str">
        <f t="shared" si="50"/>
        <v>Z147</v>
      </c>
      <c r="G207" s="15" t="e">
        <f t="shared" ca="1" si="52"/>
        <v>#REF!</v>
      </c>
    </row>
    <row r="208" spans="1:8" ht="12" hidden="1" customHeight="1">
      <c r="A208" s="17" t="str">
        <f t="shared" si="47"/>
        <v>Z148</v>
      </c>
      <c r="B208" s="17">
        <f t="shared" si="48"/>
        <v>207</v>
      </c>
      <c r="C208" s="18" t="s">
        <v>11</v>
      </c>
      <c r="D208" s="19" t="s">
        <v>60</v>
      </c>
      <c r="E208" s="15">
        <f t="shared" si="49"/>
        <v>148</v>
      </c>
      <c r="F208" s="15" t="str">
        <f t="shared" si="50"/>
        <v>Z148</v>
      </c>
      <c r="G208" s="15" t="e">
        <f t="shared" ca="1" si="52"/>
        <v>#REF!</v>
      </c>
    </row>
    <row r="209" spans="1:8" ht="12" hidden="1" customHeight="1">
      <c r="A209" s="17" t="str">
        <f t="shared" si="47"/>
        <v>Z149</v>
      </c>
      <c r="B209" s="17">
        <f t="shared" si="48"/>
        <v>208</v>
      </c>
      <c r="C209" s="18" t="s">
        <v>227</v>
      </c>
      <c r="D209" s="19" t="s">
        <v>60</v>
      </c>
      <c r="E209" s="15">
        <f t="shared" si="49"/>
        <v>149</v>
      </c>
      <c r="F209" s="15" t="str">
        <f t="shared" si="50"/>
        <v>Z149</v>
      </c>
      <c r="G209" s="15" t="e">
        <f t="shared" ca="1" si="52"/>
        <v>#REF!</v>
      </c>
      <c r="H209" s="16" t="s">
        <v>247</v>
      </c>
    </row>
    <row r="210" spans="1:8" ht="12" hidden="1" customHeight="1">
      <c r="A210" s="17" t="str">
        <f t="shared" ref="A210:A273" si="53">F210</f>
        <v>Z150</v>
      </c>
      <c r="B210" s="17">
        <f t="shared" ref="B210:B273" si="54">ROW()-1</f>
        <v>209</v>
      </c>
      <c r="C210" s="18" t="s">
        <v>84</v>
      </c>
      <c r="D210" s="19" t="s">
        <v>60</v>
      </c>
      <c r="E210" s="15">
        <f t="shared" ref="E210:E260" si="55">IF(D210=D209,E209+1,1)</f>
        <v>150</v>
      </c>
      <c r="F210" s="15" t="str">
        <f t="shared" ref="F210:F273" si="56">CONCATENATE(D210,E210)</f>
        <v>Z150</v>
      </c>
      <c r="G210" s="15" t="e">
        <f t="shared" ca="1" si="52"/>
        <v>#REF!</v>
      </c>
    </row>
    <row r="211" spans="1:8" ht="12" hidden="1" customHeight="1">
      <c r="A211" s="17" t="str">
        <f t="shared" si="53"/>
        <v>Z151</v>
      </c>
      <c r="B211" s="17">
        <f t="shared" si="54"/>
        <v>210</v>
      </c>
      <c r="C211" s="18" t="s">
        <v>55</v>
      </c>
      <c r="D211" s="19" t="s">
        <v>60</v>
      </c>
      <c r="E211" s="15">
        <f t="shared" si="55"/>
        <v>151</v>
      </c>
      <c r="F211" s="15" t="str">
        <f t="shared" si="56"/>
        <v>Z151</v>
      </c>
      <c r="G211" s="15" t="e">
        <f t="shared" ca="1" si="52"/>
        <v>#REF!</v>
      </c>
    </row>
    <row r="212" spans="1:8" ht="12" hidden="1" customHeight="1">
      <c r="A212" s="17" t="str">
        <f t="shared" si="53"/>
        <v>Z152</v>
      </c>
      <c r="B212" s="17">
        <f t="shared" si="54"/>
        <v>211</v>
      </c>
      <c r="C212" s="18" t="s">
        <v>157</v>
      </c>
      <c r="D212" s="19" t="s">
        <v>60</v>
      </c>
      <c r="E212" s="15">
        <f t="shared" si="55"/>
        <v>152</v>
      </c>
      <c r="F212" s="15" t="str">
        <f t="shared" si="56"/>
        <v>Z152</v>
      </c>
      <c r="G212" s="15" t="e">
        <f t="shared" ca="1" si="52"/>
        <v>#REF!</v>
      </c>
      <c r="H212" s="16" t="s">
        <v>228</v>
      </c>
    </row>
    <row r="213" spans="1:8" ht="12" hidden="1" customHeight="1">
      <c r="A213" s="17" t="str">
        <f t="shared" si="53"/>
        <v>Z153</v>
      </c>
      <c r="B213" s="17">
        <f t="shared" si="54"/>
        <v>212</v>
      </c>
      <c r="C213" s="18" t="s">
        <v>110</v>
      </c>
      <c r="D213" s="19" t="s">
        <v>60</v>
      </c>
      <c r="E213" s="15">
        <f t="shared" si="55"/>
        <v>153</v>
      </c>
      <c r="F213" s="15" t="str">
        <f t="shared" si="56"/>
        <v>Z153</v>
      </c>
      <c r="G213" s="15" t="e">
        <f t="shared" ca="1" si="52"/>
        <v>#REF!</v>
      </c>
    </row>
    <row r="214" spans="1:8" ht="12" hidden="1" customHeight="1">
      <c r="A214" s="17" t="str">
        <f t="shared" si="53"/>
        <v>Z154</v>
      </c>
      <c r="B214" s="17">
        <f t="shared" si="54"/>
        <v>213</v>
      </c>
      <c r="C214" s="18" t="s">
        <v>188</v>
      </c>
      <c r="D214" s="19" t="s">
        <v>60</v>
      </c>
      <c r="E214" s="15">
        <f t="shared" si="55"/>
        <v>154</v>
      </c>
      <c r="F214" s="15" t="str">
        <f t="shared" si="56"/>
        <v>Z154</v>
      </c>
      <c r="G214" s="15" t="e">
        <f t="shared" ca="1" si="52"/>
        <v>#REF!</v>
      </c>
      <c r="H214" s="16" t="s">
        <v>255</v>
      </c>
    </row>
    <row r="215" spans="1:8" ht="12" hidden="1" customHeight="1">
      <c r="A215" s="17" t="str">
        <f t="shared" si="53"/>
        <v>Z155</v>
      </c>
      <c r="B215" s="17">
        <f t="shared" si="54"/>
        <v>214</v>
      </c>
      <c r="C215" s="18" t="s">
        <v>292</v>
      </c>
      <c r="D215" s="19" t="s">
        <v>60</v>
      </c>
      <c r="E215" s="15">
        <f t="shared" si="55"/>
        <v>155</v>
      </c>
      <c r="F215" s="15" t="str">
        <f t="shared" si="56"/>
        <v>Z155</v>
      </c>
      <c r="G215" s="15" t="e">
        <f t="shared" ca="1" si="52"/>
        <v>#REF!</v>
      </c>
      <c r="H215" s="16" t="s">
        <v>300</v>
      </c>
    </row>
    <row r="216" spans="1:8" ht="6" hidden="1" customHeight="1">
      <c r="A216" s="17" t="str">
        <f t="shared" si="53"/>
        <v>Z156</v>
      </c>
      <c r="B216" s="17">
        <f t="shared" si="54"/>
        <v>215</v>
      </c>
      <c r="C216" s="18" t="s">
        <v>68</v>
      </c>
      <c r="D216" s="19" t="s">
        <v>60</v>
      </c>
      <c r="E216" s="15">
        <f t="shared" si="55"/>
        <v>156</v>
      </c>
      <c r="F216" s="15" t="str">
        <f t="shared" si="56"/>
        <v>Z156</v>
      </c>
      <c r="G216" s="15" t="e">
        <f t="shared" ca="1" si="52"/>
        <v>#REF!</v>
      </c>
    </row>
    <row r="217" spans="1:8" ht="12" hidden="1" customHeight="1">
      <c r="A217" s="17" t="str">
        <f t="shared" si="53"/>
        <v>Z157</v>
      </c>
      <c r="B217" s="17">
        <f t="shared" si="54"/>
        <v>216</v>
      </c>
      <c r="C217" s="18" t="s">
        <v>66</v>
      </c>
      <c r="D217" s="19" t="s">
        <v>60</v>
      </c>
      <c r="E217" s="15">
        <f t="shared" si="55"/>
        <v>157</v>
      </c>
      <c r="F217" s="15" t="str">
        <f t="shared" si="56"/>
        <v>Z157</v>
      </c>
      <c r="G217" s="15" t="e">
        <f t="shared" ca="1" si="52"/>
        <v>#REF!</v>
      </c>
    </row>
    <row r="218" spans="1:8" ht="12" hidden="1" customHeight="1">
      <c r="A218" s="17" t="str">
        <f t="shared" si="53"/>
        <v>Z158</v>
      </c>
      <c r="B218" s="17">
        <f t="shared" si="54"/>
        <v>217</v>
      </c>
      <c r="C218" s="18" t="s">
        <v>231</v>
      </c>
      <c r="D218" s="19" t="s">
        <v>60</v>
      </c>
      <c r="E218" s="15">
        <f t="shared" si="55"/>
        <v>158</v>
      </c>
      <c r="F218" s="15" t="str">
        <f t="shared" si="56"/>
        <v>Z158</v>
      </c>
      <c r="G218" s="15" t="e">
        <f t="shared" ca="1" si="52"/>
        <v>#REF!</v>
      </c>
      <c r="H218" s="16" t="s">
        <v>266</v>
      </c>
    </row>
    <row r="219" spans="1:8" ht="12" hidden="1" customHeight="1">
      <c r="A219" s="17" t="str">
        <f t="shared" si="53"/>
        <v>Z159</v>
      </c>
      <c r="B219" s="17">
        <f t="shared" si="54"/>
        <v>218</v>
      </c>
      <c r="C219" s="18" t="s">
        <v>53</v>
      </c>
      <c r="D219" s="19" t="s">
        <v>60</v>
      </c>
      <c r="E219" s="15">
        <f t="shared" si="55"/>
        <v>159</v>
      </c>
      <c r="F219" s="15" t="str">
        <f t="shared" si="56"/>
        <v>Z159</v>
      </c>
      <c r="G219" s="15" t="e">
        <f t="shared" ca="1" si="52"/>
        <v>#REF!</v>
      </c>
    </row>
    <row r="220" spans="1:8" ht="12" hidden="1" customHeight="1">
      <c r="A220" s="17" t="str">
        <f t="shared" si="53"/>
        <v>Z160</v>
      </c>
      <c r="B220" s="17">
        <f t="shared" si="54"/>
        <v>219</v>
      </c>
      <c r="C220" s="18" t="s">
        <v>213</v>
      </c>
      <c r="D220" s="19" t="s">
        <v>60</v>
      </c>
      <c r="E220" s="15">
        <f t="shared" si="55"/>
        <v>160</v>
      </c>
      <c r="F220" s="15" t="str">
        <f t="shared" si="56"/>
        <v>Z160</v>
      </c>
      <c r="G220" s="15" t="e">
        <f t="shared" ca="1" si="52"/>
        <v>#REF!</v>
      </c>
      <c r="H220" s="16" t="s">
        <v>249</v>
      </c>
    </row>
    <row r="221" spans="1:8" ht="12" hidden="1" customHeight="1">
      <c r="A221" s="17" t="str">
        <f t="shared" si="53"/>
        <v>Z161</v>
      </c>
      <c r="B221" s="17">
        <f t="shared" si="54"/>
        <v>220</v>
      </c>
      <c r="C221" s="18" t="s">
        <v>179</v>
      </c>
      <c r="D221" s="19" t="s">
        <v>60</v>
      </c>
      <c r="E221" s="15">
        <f t="shared" si="55"/>
        <v>161</v>
      </c>
      <c r="F221" s="15" t="str">
        <f t="shared" si="56"/>
        <v>Z161</v>
      </c>
      <c r="G221" s="15" t="e">
        <f t="shared" ca="1" si="52"/>
        <v>#REF!</v>
      </c>
      <c r="H221" s="16" t="s">
        <v>246</v>
      </c>
    </row>
    <row r="222" spans="1:8" ht="12" hidden="1" customHeight="1">
      <c r="A222" s="17" t="str">
        <f t="shared" si="53"/>
        <v>Z162</v>
      </c>
      <c r="B222" s="17">
        <f t="shared" si="54"/>
        <v>221</v>
      </c>
      <c r="C222" s="18" t="s">
        <v>79</v>
      </c>
      <c r="D222" s="19" t="s">
        <v>60</v>
      </c>
      <c r="E222" s="15">
        <f t="shared" si="55"/>
        <v>162</v>
      </c>
      <c r="F222" s="15" t="str">
        <f t="shared" si="56"/>
        <v>Z162</v>
      </c>
      <c r="G222" s="15" t="e">
        <f t="shared" ca="1" si="52"/>
        <v>#REF!</v>
      </c>
    </row>
    <row r="223" spans="1:8" ht="12" hidden="1" customHeight="1">
      <c r="A223" s="17" t="str">
        <f t="shared" si="53"/>
        <v>Z163</v>
      </c>
      <c r="B223" s="17">
        <f t="shared" si="54"/>
        <v>222</v>
      </c>
      <c r="C223" s="18" t="s">
        <v>106</v>
      </c>
      <c r="D223" s="19" t="s">
        <v>60</v>
      </c>
      <c r="E223" s="15">
        <f t="shared" si="55"/>
        <v>163</v>
      </c>
      <c r="F223" s="15" t="str">
        <f t="shared" si="56"/>
        <v>Z163</v>
      </c>
      <c r="G223" s="15" t="e">
        <f t="shared" ca="1" si="52"/>
        <v>#REF!</v>
      </c>
    </row>
    <row r="224" spans="1:8" ht="12" hidden="1" customHeight="1">
      <c r="A224" s="17" t="str">
        <f t="shared" si="53"/>
        <v>Z164</v>
      </c>
      <c r="B224" s="17">
        <f t="shared" si="54"/>
        <v>223</v>
      </c>
      <c r="C224" s="18" t="s">
        <v>37</v>
      </c>
      <c r="D224" s="19" t="s">
        <v>60</v>
      </c>
      <c r="E224" s="15">
        <f t="shared" si="55"/>
        <v>164</v>
      </c>
      <c r="F224" s="15" t="str">
        <f t="shared" si="56"/>
        <v>Z164</v>
      </c>
      <c r="G224" s="15" t="e">
        <f t="shared" ref="G224:G255" ca="1" si="57">VLOOKUP(C224,INDIRECT("'"&amp;D224&amp;" liga'!$A$1:$O$30"),15,FALSE)</f>
        <v>#REF!</v>
      </c>
    </row>
    <row r="225" spans="1:8" ht="12" hidden="1" customHeight="1">
      <c r="A225" s="17" t="str">
        <f t="shared" si="53"/>
        <v>Z165</v>
      </c>
      <c r="B225" s="17">
        <f t="shared" si="54"/>
        <v>224</v>
      </c>
      <c r="C225" s="18" t="s">
        <v>259</v>
      </c>
      <c r="D225" s="19" t="s">
        <v>60</v>
      </c>
      <c r="E225" s="15">
        <f t="shared" si="55"/>
        <v>165</v>
      </c>
      <c r="F225" s="15" t="str">
        <f t="shared" si="56"/>
        <v>Z165</v>
      </c>
      <c r="G225" s="15" t="e">
        <f t="shared" ca="1" si="57"/>
        <v>#REF!</v>
      </c>
      <c r="H225" s="16" t="s">
        <v>318</v>
      </c>
    </row>
    <row r="226" spans="1:8" ht="12" hidden="1" customHeight="1">
      <c r="A226" s="17" t="str">
        <f t="shared" si="53"/>
        <v>Z166</v>
      </c>
      <c r="B226" s="17">
        <f t="shared" si="54"/>
        <v>225</v>
      </c>
      <c r="C226" s="18" t="s">
        <v>120</v>
      </c>
      <c r="D226" s="19" t="s">
        <v>60</v>
      </c>
      <c r="E226" s="15">
        <f t="shared" si="55"/>
        <v>166</v>
      </c>
      <c r="F226" s="15" t="str">
        <f t="shared" si="56"/>
        <v>Z166</v>
      </c>
      <c r="G226" s="15" t="e">
        <f t="shared" ca="1" si="57"/>
        <v>#REF!</v>
      </c>
    </row>
    <row r="227" spans="1:8" ht="12" hidden="1" customHeight="1">
      <c r="A227" s="17" t="str">
        <f t="shared" si="53"/>
        <v>Z167</v>
      </c>
      <c r="B227" s="17">
        <f t="shared" si="54"/>
        <v>226</v>
      </c>
      <c r="C227" s="18" t="s">
        <v>54</v>
      </c>
      <c r="D227" s="19" t="s">
        <v>60</v>
      </c>
      <c r="E227" s="15">
        <f t="shared" si="55"/>
        <v>167</v>
      </c>
      <c r="F227" s="15" t="str">
        <f t="shared" si="56"/>
        <v>Z167</v>
      </c>
      <c r="G227" s="15" t="e">
        <f t="shared" ca="1" si="57"/>
        <v>#REF!</v>
      </c>
      <c r="H227" s="16" t="s">
        <v>277</v>
      </c>
    </row>
    <row r="228" spans="1:8" ht="12" hidden="1" customHeight="1">
      <c r="A228" s="17" t="str">
        <f t="shared" si="53"/>
        <v>Z168</v>
      </c>
      <c r="B228" s="17">
        <f t="shared" si="54"/>
        <v>227</v>
      </c>
      <c r="C228" s="18" t="s">
        <v>95</v>
      </c>
      <c r="D228" s="19" t="s">
        <v>60</v>
      </c>
      <c r="E228" s="15">
        <f t="shared" si="55"/>
        <v>168</v>
      </c>
      <c r="F228" s="15" t="str">
        <f t="shared" si="56"/>
        <v>Z168</v>
      </c>
      <c r="G228" s="15" t="e">
        <f t="shared" ca="1" si="57"/>
        <v>#REF!</v>
      </c>
      <c r="H228" s="16" t="s">
        <v>161</v>
      </c>
    </row>
    <row r="229" spans="1:8" ht="12" hidden="1" customHeight="1">
      <c r="A229" s="17" t="str">
        <f t="shared" si="53"/>
        <v>Z169</v>
      </c>
      <c r="B229" s="17">
        <f t="shared" si="54"/>
        <v>228</v>
      </c>
      <c r="C229" s="18" t="s">
        <v>40</v>
      </c>
      <c r="D229" s="19" t="s">
        <v>60</v>
      </c>
      <c r="E229" s="15">
        <f t="shared" si="55"/>
        <v>169</v>
      </c>
      <c r="F229" s="15" t="str">
        <f t="shared" si="56"/>
        <v>Z169</v>
      </c>
      <c r="G229" s="15" t="e">
        <f t="shared" ca="1" si="57"/>
        <v>#REF!</v>
      </c>
      <c r="H229" s="16" t="s">
        <v>209</v>
      </c>
    </row>
    <row r="230" spans="1:8" ht="12" hidden="1" customHeight="1">
      <c r="A230" s="17" t="str">
        <f t="shared" si="53"/>
        <v>Z170</v>
      </c>
      <c r="B230" s="17">
        <f t="shared" si="54"/>
        <v>229</v>
      </c>
      <c r="C230" s="18" t="s">
        <v>195</v>
      </c>
      <c r="D230" s="19" t="s">
        <v>60</v>
      </c>
      <c r="E230" s="15">
        <f t="shared" si="55"/>
        <v>170</v>
      </c>
      <c r="F230" s="15" t="str">
        <f t="shared" si="56"/>
        <v>Z170</v>
      </c>
      <c r="G230" s="15" t="e">
        <f t="shared" ca="1" si="57"/>
        <v>#REF!</v>
      </c>
      <c r="H230" s="16" t="s">
        <v>247</v>
      </c>
    </row>
    <row r="231" spans="1:8" ht="12" hidden="1" customHeight="1">
      <c r="A231" s="17" t="str">
        <f t="shared" si="53"/>
        <v>Z171</v>
      </c>
      <c r="B231" s="17">
        <f t="shared" si="54"/>
        <v>230</v>
      </c>
      <c r="C231" s="18" t="s">
        <v>88</v>
      </c>
      <c r="D231" s="19" t="s">
        <v>60</v>
      </c>
      <c r="E231" s="15">
        <f t="shared" si="55"/>
        <v>171</v>
      </c>
      <c r="F231" s="15" t="str">
        <f t="shared" si="56"/>
        <v>Z171</v>
      </c>
      <c r="G231" s="15" t="e">
        <f t="shared" ca="1" si="57"/>
        <v>#REF!</v>
      </c>
    </row>
    <row r="232" spans="1:8" ht="12" hidden="1" customHeight="1">
      <c r="A232" s="17" t="str">
        <f t="shared" si="53"/>
        <v>Z172</v>
      </c>
      <c r="B232" s="17">
        <f t="shared" si="54"/>
        <v>231</v>
      </c>
      <c r="C232" s="18" t="s">
        <v>8</v>
      </c>
      <c r="D232" s="19" t="s">
        <v>60</v>
      </c>
      <c r="E232" s="15">
        <f t="shared" si="55"/>
        <v>172</v>
      </c>
      <c r="F232" s="15" t="str">
        <f t="shared" si="56"/>
        <v>Z172</v>
      </c>
      <c r="G232" s="15" t="e">
        <f t="shared" ca="1" si="57"/>
        <v>#REF!</v>
      </c>
    </row>
    <row r="233" spans="1:8" ht="12" hidden="1" customHeight="1">
      <c r="A233" s="17" t="str">
        <f t="shared" si="53"/>
        <v>Z173</v>
      </c>
      <c r="B233" s="17">
        <f t="shared" si="54"/>
        <v>232</v>
      </c>
      <c r="C233" s="18" t="s">
        <v>99</v>
      </c>
      <c r="D233" s="19" t="s">
        <v>60</v>
      </c>
      <c r="E233" s="15">
        <f t="shared" si="55"/>
        <v>173</v>
      </c>
      <c r="F233" s="15" t="str">
        <f t="shared" si="56"/>
        <v>Z173</v>
      </c>
      <c r="G233" s="15" t="e">
        <f t="shared" ca="1" si="57"/>
        <v>#REF!</v>
      </c>
    </row>
    <row r="234" spans="1:8" ht="12" hidden="1" customHeight="1">
      <c r="A234" s="17" t="str">
        <f t="shared" si="53"/>
        <v>Z174</v>
      </c>
      <c r="B234" s="17">
        <f t="shared" si="54"/>
        <v>233</v>
      </c>
      <c r="C234" s="18" t="s">
        <v>185</v>
      </c>
      <c r="D234" s="19" t="s">
        <v>60</v>
      </c>
      <c r="E234" s="15">
        <f t="shared" si="55"/>
        <v>174</v>
      </c>
      <c r="F234" s="15" t="str">
        <f t="shared" si="56"/>
        <v>Z174</v>
      </c>
      <c r="G234" s="15" t="e">
        <f t="shared" ca="1" si="57"/>
        <v>#REF!</v>
      </c>
      <c r="H234" s="16" t="s">
        <v>190</v>
      </c>
    </row>
    <row r="235" spans="1:8" ht="12" hidden="1" customHeight="1">
      <c r="A235" s="17" t="str">
        <f t="shared" si="53"/>
        <v>Z175</v>
      </c>
      <c r="B235" s="17">
        <f t="shared" si="54"/>
        <v>234</v>
      </c>
      <c r="C235" s="18" t="s">
        <v>204</v>
      </c>
      <c r="D235" s="19" t="s">
        <v>60</v>
      </c>
      <c r="E235" s="15">
        <f t="shared" si="55"/>
        <v>175</v>
      </c>
      <c r="F235" s="15" t="str">
        <f t="shared" si="56"/>
        <v>Z175</v>
      </c>
      <c r="G235" s="15" t="e">
        <f t="shared" ca="1" si="57"/>
        <v>#REF!</v>
      </c>
      <c r="H235" s="16" t="s">
        <v>260</v>
      </c>
    </row>
    <row r="236" spans="1:8" ht="12" hidden="1" customHeight="1">
      <c r="A236" s="17" t="str">
        <f t="shared" si="53"/>
        <v>Z176</v>
      </c>
      <c r="B236" s="17">
        <f t="shared" si="54"/>
        <v>235</v>
      </c>
      <c r="C236" s="18" t="s">
        <v>61</v>
      </c>
      <c r="D236" s="19" t="s">
        <v>60</v>
      </c>
      <c r="E236" s="15">
        <f t="shared" si="55"/>
        <v>176</v>
      </c>
      <c r="F236" s="15" t="str">
        <f t="shared" si="56"/>
        <v>Z176</v>
      </c>
      <c r="G236" s="15" t="e">
        <f t="shared" ca="1" si="57"/>
        <v>#REF!</v>
      </c>
      <c r="H236" s="16" t="s">
        <v>140</v>
      </c>
    </row>
    <row r="237" spans="1:8" ht="12" hidden="1" customHeight="1">
      <c r="A237" s="17" t="str">
        <f t="shared" si="53"/>
        <v>Z177</v>
      </c>
      <c r="B237" s="17">
        <f t="shared" si="54"/>
        <v>236</v>
      </c>
      <c r="C237" s="18" t="s">
        <v>19</v>
      </c>
      <c r="D237" s="19" t="s">
        <v>60</v>
      </c>
      <c r="E237" s="15">
        <f t="shared" si="55"/>
        <v>177</v>
      </c>
      <c r="F237" s="15" t="str">
        <f t="shared" si="56"/>
        <v>Z177</v>
      </c>
      <c r="G237" s="15" t="e">
        <f t="shared" ca="1" si="57"/>
        <v>#REF!</v>
      </c>
    </row>
    <row r="238" spans="1:8" ht="12" hidden="1" customHeight="1">
      <c r="A238" s="17" t="str">
        <f t="shared" si="53"/>
        <v>Z178</v>
      </c>
      <c r="B238" s="17">
        <f t="shared" si="54"/>
        <v>237</v>
      </c>
      <c r="C238" s="18" t="s">
        <v>156</v>
      </c>
      <c r="D238" s="19" t="s">
        <v>60</v>
      </c>
      <c r="E238" s="15">
        <f t="shared" si="55"/>
        <v>178</v>
      </c>
      <c r="F238" s="15" t="str">
        <f t="shared" si="56"/>
        <v>Z178</v>
      </c>
      <c r="G238" s="15" t="e">
        <f t="shared" ca="1" si="57"/>
        <v>#REF!</v>
      </c>
      <c r="H238" s="16" t="s">
        <v>216</v>
      </c>
    </row>
    <row r="239" spans="1:8" ht="6.5" hidden="1" customHeight="1">
      <c r="A239" s="17" t="str">
        <f t="shared" si="53"/>
        <v>Z179</v>
      </c>
      <c r="B239" s="17">
        <f t="shared" si="54"/>
        <v>238</v>
      </c>
      <c r="C239" s="18" t="s">
        <v>129</v>
      </c>
      <c r="D239" s="19" t="s">
        <v>60</v>
      </c>
      <c r="E239" s="15">
        <f t="shared" si="55"/>
        <v>179</v>
      </c>
      <c r="F239" s="15" t="str">
        <f t="shared" si="56"/>
        <v>Z179</v>
      </c>
      <c r="G239" s="15" t="e">
        <f t="shared" ca="1" si="57"/>
        <v>#REF!</v>
      </c>
    </row>
    <row r="240" spans="1:8" ht="12" hidden="1" customHeight="1">
      <c r="A240" s="17" t="str">
        <f t="shared" si="53"/>
        <v>Z180</v>
      </c>
      <c r="B240" s="17">
        <f t="shared" si="54"/>
        <v>239</v>
      </c>
      <c r="C240" s="18" t="s">
        <v>9</v>
      </c>
      <c r="D240" s="19" t="s">
        <v>60</v>
      </c>
      <c r="E240" s="15">
        <f t="shared" si="55"/>
        <v>180</v>
      </c>
      <c r="F240" s="15" t="str">
        <f t="shared" si="56"/>
        <v>Z180</v>
      </c>
      <c r="G240" s="15" t="e">
        <f t="shared" ca="1" si="57"/>
        <v>#REF!</v>
      </c>
      <c r="H240" s="16" t="s">
        <v>268</v>
      </c>
    </row>
    <row r="241" spans="1:8" ht="12" hidden="1" customHeight="1">
      <c r="A241" s="17" t="str">
        <f t="shared" si="53"/>
        <v>Z181</v>
      </c>
      <c r="B241" s="17">
        <f t="shared" si="54"/>
        <v>240</v>
      </c>
      <c r="C241" s="18" t="s">
        <v>5</v>
      </c>
      <c r="D241" s="19" t="s">
        <v>60</v>
      </c>
      <c r="E241" s="15">
        <f t="shared" si="55"/>
        <v>181</v>
      </c>
      <c r="F241" s="15" t="str">
        <f t="shared" si="56"/>
        <v>Z181</v>
      </c>
      <c r="G241" s="15" t="e">
        <f t="shared" ca="1" si="57"/>
        <v>#REF!</v>
      </c>
      <c r="H241" s="16" t="s">
        <v>257</v>
      </c>
    </row>
    <row r="242" spans="1:8" ht="12" hidden="1" customHeight="1">
      <c r="A242" s="17" t="str">
        <f t="shared" si="53"/>
        <v>Z182</v>
      </c>
      <c r="B242" s="17">
        <f t="shared" si="54"/>
        <v>241</v>
      </c>
      <c r="C242" s="18" t="s">
        <v>232</v>
      </c>
      <c r="D242" s="19" t="s">
        <v>60</v>
      </c>
      <c r="E242" s="15">
        <f t="shared" si="55"/>
        <v>182</v>
      </c>
      <c r="F242" s="15" t="str">
        <f t="shared" si="56"/>
        <v>Z182</v>
      </c>
      <c r="G242" s="15" t="e">
        <f t="shared" ca="1" si="57"/>
        <v>#REF!</v>
      </c>
      <c r="H242" s="16" t="s">
        <v>249</v>
      </c>
    </row>
    <row r="243" spans="1:8" ht="12" hidden="1" customHeight="1">
      <c r="A243" s="17" t="str">
        <f t="shared" si="53"/>
        <v>Z183</v>
      </c>
      <c r="B243" s="17">
        <f t="shared" si="54"/>
        <v>242</v>
      </c>
      <c r="C243" s="18" t="s">
        <v>101</v>
      </c>
      <c r="D243" s="19" t="s">
        <v>60</v>
      </c>
      <c r="E243" s="15">
        <f t="shared" si="55"/>
        <v>183</v>
      </c>
      <c r="F243" s="15" t="str">
        <f t="shared" si="56"/>
        <v>Z183</v>
      </c>
      <c r="G243" s="15" t="e">
        <f t="shared" ca="1" si="57"/>
        <v>#REF!</v>
      </c>
    </row>
    <row r="244" spans="1:8" ht="12" hidden="1" customHeight="1">
      <c r="A244" s="17" t="str">
        <f t="shared" si="53"/>
        <v>Z184</v>
      </c>
      <c r="B244" s="17">
        <f t="shared" si="54"/>
        <v>243</v>
      </c>
      <c r="C244" s="18" t="s">
        <v>73</v>
      </c>
      <c r="D244" s="19" t="s">
        <v>60</v>
      </c>
      <c r="E244" s="15">
        <f t="shared" si="55"/>
        <v>184</v>
      </c>
      <c r="F244" s="15" t="str">
        <f t="shared" si="56"/>
        <v>Z184</v>
      </c>
      <c r="G244" s="15" t="e">
        <f t="shared" ca="1" si="57"/>
        <v>#REF!</v>
      </c>
    </row>
    <row r="245" spans="1:8" ht="12" hidden="1" customHeight="1">
      <c r="A245" s="17" t="str">
        <f t="shared" si="53"/>
        <v>Z185</v>
      </c>
      <c r="B245" s="17">
        <f t="shared" si="54"/>
        <v>244</v>
      </c>
      <c r="C245" s="18" t="s">
        <v>10</v>
      </c>
      <c r="D245" s="19" t="s">
        <v>60</v>
      </c>
      <c r="E245" s="15">
        <f t="shared" si="55"/>
        <v>185</v>
      </c>
      <c r="F245" s="15" t="str">
        <f t="shared" si="56"/>
        <v>Z185</v>
      </c>
      <c r="G245" s="15" t="e">
        <f t="shared" ca="1" si="57"/>
        <v>#REF!</v>
      </c>
      <c r="H245" s="16" t="s">
        <v>256</v>
      </c>
    </row>
    <row r="246" spans="1:8" ht="12" hidden="1" customHeight="1">
      <c r="A246" s="17" t="str">
        <f t="shared" si="53"/>
        <v>Z186</v>
      </c>
      <c r="B246" s="17">
        <f t="shared" si="54"/>
        <v>245</v>
      </c>
      <c r="C246" s="18" t="s">
        <v>43</v>
      </c>
      <c r="D246" s="19" t="s">
        <v>60</v>
      </c>
      <c r="E246" s="15">
        <f t="shared" si="55"/>
        <v>186</v>
      </c>
      <c r="F246" s="15" t="str">
        <f t="shared" si="56"/>
        <v>Z186</v>
      </c>
      <c r="G246" s="15" t="e">
        <f t="shared" ca="1" si="57"/>
        <v>#REF!</v>
      </c>
      <c r="H246" s="16" t="s">
        <v>278</v>
      </c>
    </row>
    <row r="247" spans="1:8" ht="12" hidden="1" customHeight="1">
      <c r="A247" s="17" t="str">
        <f t="shared" si="53"/>
        <v>Z187</v>
      </c>
      <c r="B247" s="17">
        <f t="shared" si="54"/>
        <v>246</v>
      </c>
      <c r="C247" s="18" t="s">
        <v>273</v>
      </c>
      <c r="D247" s="19" t="s">
        <v>60</v>
      </c>
      <c r="E247" s="15">
        <f t="shared" si="55"/>
        <v>187</v>
      </c>
      <c r="F247" s="15" t="str">
        <f t="shared" si="56"/>
        <v>Z187</v>
      </c>
      <c r="G247" s="15" t="e">
        <f t="shared" ca="1" si="57"/>
        <v>#REF!</v>
      </c>
      <c r="H247" s="16" t="s">
        <v>280</v>
      </c>
    </row>
    <row r="248" spans="1:8" ht="12" hidden="1" customHeight="1">
      <c r="A248" s="17" t="str">
        <f t="shared" si="53"/>
        <v>Z188</v>
      </c>
      <c r="B248" s="17">
        <f t="shared" si="54"/>
        <v>247</v>
      </c>
      <c r="C248" s="18" t="s">
        <v>274</v>
      </c>
      <c r="D248" s="19" t="s">
        <v>60</v>
      </c>
      <c r="E248" s="15">
        <f t="shared" si="55"/>
        <v>188</v>
      </c>
      <c r="F248" s="15" t="str">
        <f t="shared" si="56"/>
        <v>Z188</v>
      </c>
      <c r="G248" s="15" t="e">
        <f t="shared" ca="1" si="57"/>
        <v>#REF!</v>
      </c>
      <c r="H248" s="16" t="s">
        <v>281</v>
      </c>
    </row>
    <row r="249" spans="1:8" ht="12" hidden="1" customHeight="1">
      <c r="A249" s="17" t="str">
        <f t="shared" si="53"/>
        <v>Z189</v>
      </c>
      <c r="B249" s="17">
        <f t="shared" si="54"/>
        <v>248</v>
      </c>
      <c r="C249" s="18" t="s">
        <v>56</v>
      </c>
      <c r="D249" s="19" t="s">
        <v>60</v>
      </c>
      <c r="E249" s="15">
        <f t="shared" si="55"/>
        <v>189</v>
      </c>
      <c r="F249" s="15" t="str">
        <f t="shared" si="56"/>
        <v>Z189</v>
      </c>
      <c r="G249" s="15" t="e">
        <f t="shared" ca="1" si="57"/>
        <v>#REF!</v>
      </c>
      <c r="H249" s="16" t="s">
        <v>311</v>
      </c>
    </row>
    <row r="250" spans="1:8" ht="12" hidden="1" customHeight="1">
      <c r="A250" s="17" t="str">
        <f t="shared" si="53"/>
        <v>Z190</v>
      </c>
      <c r="B250" s="17">
        <f t="shared" si="54"/>
        <v>249</v>
      </c>
      <c r="C250" s="18" t="s">
        <v>32</v>
      </c>
      <c r="D250" s="19" t="s">
        <v>60</v>
      </c>
      <c r="E250" s="15">
        <f t="shared" si="55"/>
        <v>190</v>
      </c>
      <c r="F250" s="15" t="str">
        <f t="shared" si="56"/>
        <v>Z190</v>
      </c>
      <c r="G250" s="15" t="e">
        <f t="shared" ca="1" si="57"/>
        <v>#REF!</v>
      </c>
    </row>
    <row r="251" spans="1:8" ht="12" hidden="1" customHeight="1">
      <c r="A251" s="17" t="str">
        <f t="shared" si="53"/>
        <v>Z191</v>
      </c>
      <c r="B251" s="17">
        <f t="shared" si="54"/>
        <v>250</v>
      </c>
      <c r="C251" s="18" t="s">
        <v>187</v>
      </c>
      <c r="D251" s="19" t="s">
        <v>60</v>
      </c>
      <c r="E251" s="15">
        <f t="shared" si="55"/>
        <v>191</v>
      </c>
      <c r="F251" s="15" t="str">
        <f t="shared" si="56"/>
        <v>Z191</v>
      </c>
      <c r="G251" s="15" t="e">
        <f t="shared" ca="1" si="57"/>
        <v>#REF!</v>
      </c>
      <c r="H251" s="16" t="s">
        <v>196</v>
      </c>
    </row>
    <row r="252" spans="1:8" ht="12" hidden="1" customHeight="1">
      <c r="A252" s="17" t="str">
        <f t="shared" si="53"/>
        <v>Z192</v>
      </c>
      <c r="B252" s="17">
        <f t="shared" si="54"/>
        <v>251</v>
      </c>
      <c r="C252" s="18" t="s">
        <v>183</v>
      </c>
      <c r="D252" s="19" t="s">
        <v>60</v>
      </c>
      <c r="E252" s="15">
        <f t="shared" si="55"/>
        <v>192</v>
      </c>
      <c r="F252" s="15" t="str">
        <f t="shared" si="56"/>
        <v>Z192</v>
      </c>
      <c r="G252" s="15" t="e">
        <f t="shared" ca="1" si="57"/>
        <v>#REF!</v>
      </c>
      <c r="H252" s="16" t="s">
        <v>236</v>
      </c>
    </row>
    <row r="253" spans="1:8" ht="12" hidden="1" customHeight="1">
      <c r="A253" s="17" t="str">
        <f t="shared" si="53"/>
        <v>Z193</v>
      </c>
      <c r="B253" s="17">
        <f t="shared" si="54"/>
        <v>252</v>
      </c>
      <c r="C253" s="18" t="s">
        <v>269</v>
      </c>
      <c r="D253" s="19" t="s">
        <v>60</v>
      </c>
      <c r="E253" s="15">
        <f t="shared" si="55"/>
        <v>193</v>
      </c>
      <c r="F253" s="15" t="str">
        <f t="shared" si="56"/>
        <v>Z193</v>
      </c>
      <c r="G253" s="15" t="e">
        <f t="shared" ca="1" si="57"/>
        <v>#REF!</v>
      </c>
      <c r="H253" s="16" t="s">
        <v>280</v>
      </c>
    </row>
    <row r="254" spans="1:8" ht="12" hidden="1" customHeight="1">
      <c r="A254" s="17" t="str">
        <f t="shared" si="53"/>
        <v>Z194</v>
      </c>
      <c r="B254" s="17">
        <f t="shared" si="54"/>
        <v>253</v>
      </c>
      <c r="C254" s="18" t="s">
        <v>76</v>
      </c>
      <c r="D254" s="19" t="s">
        <v>60</v>
      </c>
      <c r="E254" s="15">
        <f t="shared" si="55"/>
        <v>194</v>
      </c>
      <c r="F254" s="15" t="str">
        <f t="shared" si="56"/>
        <v>Z194</v>
      </c>
      <c r="G254" s="15" t="e">
        <f t="shared" ca="1" si="57"/>
        <v>#REF!</v>
      </c>
    </row>
    <row r="255" spans="1:8" ht="12" hidden="1" customHeight="1">
      <c r="A255" s="17" t="str">
        <f t="shared" si="53"/>
        <v>Z195</v>
      </c>
      <c r="B255" s="17">
        <f t="shared" si="54"/>
        <v>254</v>
      </c>
      <c r="C255" s="18" t="s">
        <v>291</v>
      </c>
      <c r="D255" s="19" t="s">
        <v>60</v>
      </c>
      <c r="E255" s="15">
        <f t="shared" si="55"/>
        <v>195</v>
      </c>
      <c r="F255" s="15" t="str">
        <f t="shared" si="56"/>
        <v>Z195</v>
      </c>
      <c r="G255" s="15" t="e">
        <f t="shared" ca="1" si="57"/>
        <v>#REF!</v>
      </c>
      <c r="H255" s="16" t="s">
        <v>313</v>
      </c>
    </row>
    <row r="256" spans="1:8" ht="12" hidden="1" customHeight="1">
      <c r="A256" s="17" t="str">
        <f t="shared" si="53"/>
        <v>Z196</v>
      </c>
      <c r="B256" s="17">
        <f t="shared" si="54"/>
        <v>255</v>
      </c>
      <c r="C256" s="18" t="s">
        <v>78</v>
      </c>
      <c r="D256" s="19" t="s">
        <v>60</v>
      </c>
      <c r="E256" s="15">
        <f t="shared" si="55"/>
        <v>196</v>
      </c>
      <c r="F256" s="15" t="str">
        <f t="shared" si="56"/>
        <v>Z196</v>
      </c>
      <c r="G256" s="15" t="e">
        <f t="shared" ref="G256:G287" ca="1" si="58">VLOOKUP(C256,INDIRECT("'"&amp;D256&amp;" liga'!$A$1:$O$30"),15,FALSE)</f>
        <v>#REF!</v>
      </c>
    </row>
    <row r="257" spans="1:8" ht="12" hidden="1" customHeight="1">
      <c r="A257" s="17" t="str">
        <f t="shared" si="53"/>
        <v>Z197</v>
      </c>
      <c r="B257" s="17">
        <f t="shared" si="54"/>
        <v>256</v>
      </c>
      <c r="C257" s="18" t="s">
        <v>146</v>
      </c>
      <c r="D257" s="19" t="s">
        <v>60</v>
      </c>
      <c r="E257" s="15">
        <f t="shared" si="55"/>
        <v>197</v>
      </c>
      <c r="F257" s="15" t="str">
        <f t="shared" si="56"/>
        <v>Z197</v>
      </c>
      <c r="G257" s="15" t="e">
        <f t="shared" ca="1" si="58"/>
        <v>#REF!</v>
      </c>
      <c r="H257" s="16" t="s">
        <v>278</v>
      </c>
    </row>
    <row r="258" spans="1:8" ht="12" hidden="1" customHeight="1">
      <c r="A258" s="17" t="str">
        <f t="shared" si="53"/>
        <v>Z198</v>
      </c>
      <c r="B258" s="17">
        <f t="shared" si="54"/>
        <v>257</v>
      </c>
      <c r="C258" s="18" t="s">
        <v>12</v>
      </c>
      <c r="D258" s="19" t="s">
        <v>60</v>
      </c>
      <c r="E258" s="15">
        <f t="shared" si="55"/>
        <v>198</v>
      </c>
      <c r="F258" s="15" t="str">
        <f t="shared" si="56"/>
        <v>Z198</v>
      </c>
      <c r="G258" s="15" t="e">
        <f t="shared" ca="1" si="58"/>
        <v>#REF!</v>
      </c>
    </row>
    <row r="259" spans="1:8" ht="12" hidden="1" customHeight="1">
      <c r="A259" s="17" t="str">
        <f t="shared" si="53"/>
        <v>Z199</v>
      </c>
      <c r="B259" s="17">
        <f t="shared" si="54"/>
        <v>258</v>
      </c>
      <c r="C259" s="18" t="s">
        <v>134</v>
      </c>
      <c r="D259" s="19" t="s">
        <v>60</v>
      </c>
      <c r="E259" s="15">
        <f t="shared" si="55"/>
        <v>199</v>
      </c>
      <c r="F259" s="15" t="str">
        <f t="shared" si="56"/>
        <v>Z199</v>
      </c>
      <c r="G259" s="15" t="e">
        <f t="shared" ca="1" si="58"/>
        <v>#REF!</v>
      </c>
      <c r="H259" s="16" t="s">
        <v>143</v>
      </c>
    </row>
    <row r="260" spans="1:8" ht="12" hidden="1" customHeight="1">
      <c r="A260" s="17" t="str">
        <f t="shared" si="53"/>
        <v>Z200</v>
      </c>
      <c r="B260" s="17">
        <f t="shared" si="54"/>
        <v>259</v>
      </c>
      <c r="C260" s="18" t="s">
        <v>85</v>
      </c>
      <c r="D260" s="19" t="s">
        <v>60</v>
      </c>
      <c r="E260" s="15">
        <f t="shared" si="55"/>
        <v>200</v>
      </c>
      <c r="F260" s="15" t="str">
        <f t="shared" si="56"/>
        <v>Z200</v>
      </c>
      <c r="G260" s="15" t="e">
        <f t="shared" ca="1" si="58"/>
        <v>#REF!</v>
      </c>
      <c r="H260" s="16" t="s">
        <v>245</v>
      </c>
    </row>
    <row r="261" spans="1:8" ht="12" hidden="1" customHeight="1">
      <c r="A261" s="17" t="str">
        <f t="shared" si="53"/>
        <v>Z191</v>
      </c>
      <c r="B261" s="17">
        <f t="shared" si="54"/>
        <v>260</v>
      </c>
      <c r="C261" s="26" t="s">
        <v>48</v>
      </c>
      <c r="D261" s="19" t="s">
        <v>60</v>
      </c>
      <c r="E261" s="15">
        <f>IF(D261=D250,E250+1,1)</f>
        <v>191</v>
      </c>
      <c r="F261" s="15" t="str">
        <f t="shared" si="56"/>
        <v>Z191</v>
      </c>
      <c r="G261" s="15" t="e">
        <f t="shared" ca="1" si="58"/>
        <v>#REF!</v>
      </c>
    </row>
    <row r="262" spans="1:8" ht="12" hidden="1" customHeight="1">
      <c r="A262" s="17" t="str">
        <f t="shared" si="53"/>
        <v>Z192</v>
      </c>
      <c r="B262" s="17">
        <f t="shared" si="54"/>
        <v>261</v>
      </c>
      <c r="C262" s="18" t="s">
        <v>75</v>
      </c>
      <c r="D262" s="19" t="s">
        <v>60</v>
      </c>
      <c r="E262" s="15">
        <f>IF(D262=D251,E251+1,1)</f>
        <v>192</v>
      </c>
      <c r="F262" s="15" t="str">
        <f t="shared" si="56"/>
        <v>Z192</v>
      </c>
      <c r="G262" s="15" t="e">
        <f t="shared" ca="1" si="58"/>
        <v>#REF!</v>
      </c>
    </row>
    <row r="263" spans="1:8" ht="12" hidden="1" customHeight="1">
      <c r="A263" s="17" t="str">
        <f t="shared" si="53"/>
        <v>Z193</v>
      </c>
      <c r="B263" s="17">
        <f t="shared" si="54"/>
        <v>262</v>
      </c>
      <c r="C263" s="26" t="s">
        <v>93</v>
      </c>
      <c r="D263" s="19" t="s">
        <v>60</v>
      </c>
      <c r="E263" s="15">
        <f t="shared" ref="E263:E287" si="59">IF(D263=D262,E262+1,1)</f>
        <v>193</v>
      </c>
      <c r="F263" s="15" t="str">
        <f t="shared" si="56"/>
        <v>Z193</v>
      </c>
      <c r="G263" s="15" t="e">
        <f t="shared" ca="1" si="58"/>
        <v>#REF!</v>
      </c>
    </row>
    <row r="264" spans="1:8" ht="12" hidden="1" customHeight="1">
      <c r="A264" s="17" t="str">
        <f t="shared" si="53"/>
        <v>Z194</v>
      </c>
      <c r="B264" s="17">
        <f t="shared" si="54"/>
        <v>263</v>
      </c>
      <c r="C264" s="18" t="s">
        <v>219</v>
      </c>
      <c r="D264" s="19" t="s">
        <v>60</v>
      </c>
      <c r="E264" s="15">
        <f t="shared" si="59"/>
        <v>194</v>
      </c>
      <c r="F264" s="15" t="str">
        <f t="shared" si="56"/>
        <v>Z194</v>
      </c>
      <c r="G264" s="15" t="e">
        <f t="shared" ca="1" si="58"/>
        <v>#REF!</v>
      </c>
      <c r="H264" s="16" t="s">
        <v>312</v>
      </c>
    </row>
    <row r="265" spans="1:8" ht="12" hidden="1" customHeight="1">
      <c r="A265" s="17" t="str">
        <f t="shared" si="53"/>
        <v>Z195</v>
      </c>
      <c r="B265" s="17">
        <f t="shared" si="54"/>
        <v>264</v>
      </c>
      <c r="C265" s="18" t="s">
        <v>69</v>
      </c>
      <c r="D265" s="19" t="s">
        <v>60</v>
      </c>
      <c r="E265" s="15">
        <f t="shared" si="59"/>
        <v>195</v>
      </c>
      <c r="F265" s="15" t="str">
        <f t="shared" si="56"/>
        <v>Z195</v>
      </c>
      <c r="G265" s="15" t="e">
        <f t="shared" ca="1" si="58"/>
        <v>#REF!</v>
      </c>
    </row>
    <row r="266" spans="1:8" ht="12" hidden="1" customHeight="1">
      <c r="A266" s="17" t="str">
        <f t="shared" si="53"/>
        <v>Z196</v>
      </c>
      <c r="B266" s="17">
        <f t="shared" si="54"/>
        <v>265</v>
      </c>
      <c r="C266" s="18" t="s">
        <v>235</v>
      </c>
      <c r="D266" s="19" t="s">
        <v>60</v>
      </c>
      <c r="E266" s="15">
        <f t="shared" si="59"/>
        <v>196</v>
      </c>
      <c r="F266" s="15" t="str">
        <f t="shared" si="56"/>
        <v>Z196</v>
      </c>
      <c r="G266" s="15" t="e">
        <f t="shared" ca="1" si="58"/>
        <v>#REF!</v>
      </c>
    </row>
    <row r="267" spans="1:8" ht="12" hidden="1" customHeight="1">
      <c r="A267" s="17" t="str">
        <f t="shared" si="53"/>
        <v>Z197</v>
      </c>
      <c r="B267" s="17">
        <f t="shared" si="54"/>
        <v>266</v>
      </c>
      <c r="C267" s="18" t="s">
        <v>49</v>
      </c>
      <c r="D267" s="19" t="s">
        <v>60</v>
      </c>
      <c r="E267" s="15">
        <f t="shared" si="59"/>
        <v>197</v>
      </c>
      <c r="F267" s="15" t="str">
        <f t="shared" si="56"/>
        <v>Z197</v>
      </c>
      <c r="G267" s="15" t="e">
        <f t="shared" ca="1" si="58"/>
        <v>#REF!</v>
      </c>
      <c r="H267" s="16" t="s">
        <v>170</v>
      </c>
    </row>
    <row r="268" spans="1:8" ht="0.5" hidden="1" customHeight="1">
      <c r="A268" s="17" t="str">
        <f t="shared" si="53"/>
        <v>Z198</v>
      </c>
      <c r="B268" s="17">
        <f t="shared" si="54"/>
        <v>267</v>
      </c>
      <c r="C268" s="18" t="s">
        <v>62</v>
      </c>
      <c r="D268" s="19" t="s">
        <v>60</v>
      </c>
      <c r="E268" s="15">
        <f t="shared" si="59"/>
        <v>198</v>
      </c>
      <c r="F268" s="15" t="str">
        <f t="shared" si="56"/>
        <v>Z198</v>
      </c>
      <c r="G268" s="15" t="e">
        <f t="shared" ca="1" si="58"/>
        <v>#REF!</v>
      </c>
      <c r="H268" s="16" t="s">
        <v>301</v>
      </c>
    </row>
    <row r="269" spans="1:8" ht="12" hidden="1" customHeight="1">
      <c r="A269" s="17" t="str">
        <f t="shared" si="53"/>
        <v>Z199</v>
      </c>
      <c r="B269" s="17">
        <f t="shared" si="54"/>
        <v>268</v>
      </c>
      <c r="C269" s="18" t="s">
        <v>92</v>
      </c>
      <c r="D269" s="19" t="s">
        <v>60</v>
      </c>
      <c r="E269" s="15">
        <f t="shared" si="59"/>
        <v>199</v>
      </c>
      <c r="F269" s="15" t="str">
        <f t="shared" si="56"/>
        <v>Z199</v>
      </c>
      <c r="G269" s="15" t="e">
        <f t="shared" ca="1" si="58"/>
        <v>#REF!</v>
      </c>
      <c r="H269" s="16" t="s">
        <v>139</v>
      </c>
    </row>
    <row r="270" spans="1:8" ht="12" hidden="1" customHeight="1">
      <c r="A270" s="17" t="str">
        <f t="shared" si="53"/>
        <v>Z200</v>
      </c>
      <c r="B270" s="17">
        <f t="shared" si="54"/>
        <v>269</v>
      </c>
      <c r="C270" s="18" t="s">
        <v>107</v>
      </c>
      <c r="D270" s="19" t="s">
        <v>60</v>
      </c>
      <c r="E270" s="15">
        <f t="shared" si="59"/>
        <v>200</v>
      </c>
      <c r="F270" s="15" t="str">
        <f t="shared" si="56"/>
        <v>Z200</v>
      </c>
      <c r="G270" s="15" t="e">
        <f t="shared" ca="1" si="58"/>
        <v>#REF!</v>
      </c>
    </row>
    <row r="271" spans="1:8" ht="12" hidden="1" customHeight="1">
      <c r="A271" s="17" t="str">
        <f t="shared" si="53"/>
        <v>Z201</v>
      </c>
      <c r="B271" s="17">
        <f t="shared" si="54"/>
        <v>270</v>
      </c>
      <c r="C271" s="18" t="s">
        <v>172</v>
      </c>
      <c r="D271" s="19" t="s">
        <v>60</v>
      </c>
      <c r="E271" s="15">
        <f t="shared" si="59"/>
        <v>201</v>
      </c>
      <c r="F271" s="15" t="str">
        <f t="shared" si="56"/>
        <v>Z201</v>
      </c>
      <c r="G271" s="15" t="e">
        <f t="shared" ca="1" si="58"/>
        <v>#REF!</v>
      </c>
      <c r="H271" s="16" t="s">
        <v>201</v>
      </c>
    </row>
    <row r="272" spans="1:8" ht="12" hidden="1" customHeight="1">
      <c r="A272" s="17" t="str">
        <f t="shared" si="53"/>
        <v>Z202</v>
      </c>
      <c r="B272" s="17">
        <f t="shared" si="54"/>
        <v>271</v>
      </c>
      <c r="C272" s="18" t="s">
        <v>184</v>
      </c>
      <c r="D272" s="19" t="s">
        <v>60</v>
      </c>
      <c r="E272" s="15">
        <f t="shared" si="59"/>
        <v>202</v>
      </c>
      <c r="F272" s="15" t="str">
        <f t="shared" si="56"/>
        <v>Z202</v>
      </c>
      <c r="G272" s="15" t="e">
        <f t="shared" ca="1" si="58"/>
        <v>#REF!</v>
      </c>
      <c r="H272" s="16" t="s">
        <v>198</v>
      </c>
    </row>
    <row r="273" spans="1:8" ht="12" hidden="1" customHeight="1">
      <c r="A273" s="17" t="str">
        <f t="shared" si="53"/>
        <v>Z203</v>
      </c>
      <c r="B273" s="17">
        <f t="shared" si="54"/>
        <v>272</v>
      </c>
      <c r="C273" s="18" t="s">
        <v>41</v>
      </c>
      <c r="D273" s="19" t="s">
        <v>60</v>
      </c>
      <c r="E273" s="15">
        <f t="shared" si="59"/>
        <v>203</v>
      </c>
      <c r="F273" s="15" t="str">
        <f t="shared" si="56"/>
        <v>Z203</v>
      </c>
      <c r="G273" s="15" t="e">
        <f t="shared" ca="1" si="58"/>
        <v>#REF!</v>
      </c>
      <c r="H273" s="16" t="s">
        <v>189</v>
      </c>
    </row>
    <row r="274" spans="1:8" ht="12" hidden="1" customHeight="1">
      <c r="A274" s="17" t="str">
        <f t="shared" ref="A274:A287" si="60">F274</f>
        <v>Z204</v>
      </c>
      <c r="B274" s="17">
        <f t="shared" ref="B274:B287" si="61">ROW()-1</f>
        <v>273</v>
      </c>
      <c r="C274" s="18" t="s">
        <v>7</v>
      </c>
      <c r="D274" s="19" t="s">
        <v>60</v>
      </c>
      <c r="E274" s="15">
        <f t="shared" si="59"/>
        <v>204</v>
      </c>
      <c r="F274" s="15" t="str">
        <f t="shared" ref="F274:F287" si="62">CONCATENATE(D274,E274)</f>
        <v>Z204</v>
      </c>
      <c r="G274" s="15" t="e">
        <f t="shared" ca="1" si="58"/>
        <v>#REF!</v>
      </c>
    </row>
    <row r="275" spans="1:8" ht="12" hidden="1" customHeight="1">
      <c r="A275" s="17" t="str">
        <f t="shared" si="60"/>
        <v>Z205</v>
      </c>
      <c r="B275" s="17">
        <f t="shared" si="61"/>
        <v>274</v>
      </c>
      <c r="C275" s="18"/>
      <c r="D275" s="19" t="s">
        <v>60</v>
      </c>
      <c r="E275" s="15">
        <f t="shared" si="59"/>
        <v>205</v>
      </c>
      <c r="F275" s="15" t="str">
        <f t="shared" si="62"/>
        <v>Z205</v>
      </c>
      <c r="G275" s="15" t="e">
        <f t="shared" ca="1" si="58"/>
        <v>#REF!</v>
      </c>
    </row>
    <row r="276" spans="1:8" ht="12" hidden="1" customHeight="1">
      <c r="A276" s="17" t="str">
        <f t="shared" si="60"/>
        <v>Z206</v>
      </c>
      <c r="B276" s="17">
        <f t="shared" si="61"/>
        <v>275</v>
      </c>
      <c r="C276" s="18"/>
      <c r="D276" s="19" t="s">
        <v>60</v>
      </c>
      <c r="E276" s="15">
        <f t="shared" si="59"/>
        <v>206</v>
      </c>
      <c r="F276" s="15" t="str">
        <f t="shared" si="62"/>
        <v>Z206</v>
      </c>
      <c r="G276" s="15" t="e">
        <f t="shared" ca="1" si="58"/>
        <v>#REF!</v>
      </c>
    </row>
    <row r="277" spans="1:8" ht="12" hidden="1" customHeight="1">
      <c r="A277" s="17" t="str">
        <f t="shared" si="60"/>
        <v>Z207</v>
      </c>
      <c r="B277" s="17">
        <f t="shared" si="61"/>
        <v>276</v>
      </c>
      <c r="C277" s="18"/>
      <c r="D277" s="19" t="s">
        <v>60</v>
      </c>
      <c r="E277" s="15">
        <f t="shared" si="59"/>
        <v>207</v>
      </c>
      <c r="F277" s="15" t="str">
        <f t="shared" si="62"/>
        <v>Z207</v>
      </c>
      <c r="G277" s="15" t="e">
        <f t="shared" ca="1" si="58"/>
        <v>#REF!</v>
      </c>
    </row>
    <row r="278" spans="1:8" ht="12" hidden="1" customHeight="1">
      <c r="A278" s="17" t="str">
        <f t="shared" si="60"/>
        <v>Z208</v>
      </c>
      <c r="B278" s="17">
        <f t="shared" si="61"/>
        <v>277</v>
      </c>
      <c r="C278" s="18"/>
      <c r="D278" s="19" t="s">
        <v>60</v>
      </c>
      <c r="E278" s="15">
        <f t="shared" si="59"/>
        <v>208</v>
      </c>
      <c r="F278" s="15" t="str">
        <f t="shared" si="62"/>
        <v>Z208</v>
      </c>
      <c r="G278" s="15" t="e">
        <f t="shared" ca="1" si="58"/>
        <v>#REF!</v>
      </c>
    </row>
    <row r="279" spans="1:8" ht="12" hidden="1" customHeight="1">
      <c r="A279" s="17" t="str">
        <f t="shared" si="60"/>
        <v>Z209</v>
      </c>
      <c r="B279" s="17">
        <f t="shared" si="61"/>
        <v>278</v>
      </c>
      <c r="C279" s="18"/>
      <c r="D279" s="19" t="s">
        <v>60</v>
      </c>
      <c r="E279" s="15">
        <f t="shared" si="59"/>
        <v>209</v>
      </c>
      <c r="F279" s="15" t="str">
        <f t="shared" si="62"/>
        <v>Z209</v>
      </c>
      <c r="G279" s="15" t="e">
        <f t="shared" ca="1" si="58"/>
        <v>#REF!</v>
      </c>
    </row>
    <row r="280" spans="1:8" ht="12" hidden="1" customHeight="1">
      <c r="A280" s="17" t="str">
        <f t="shared" si="60"/>
        <v>Z210</v>
      </c>
      <c r="B280" s="17">
        <f t="shared" si="61"/>
        <v>279</v>
      </c>
      <c r="C280" s="18"/>
      <c r="D280" s="19" t="s">
        <v>60</v>
      </c>
      <c r="E280" s="15">
        <f t="shared" si="59"/>
        <v>210</v>
      </c>
      <c r="F280" s="15" t="str">
        <f t="shared" si="62"/>
        <v>Z210</v>
      </c>
      <c r="G280" s="15" t="e">
        <f t="shared" ca="1" si="58"/>
        <v>#REF!</v>
      </c>
    </row>
    <row r="281" spans="1:8" ht="12" hidden="1" customHeight="1">
      <c r="A281" s="17" t="str">
        <f t="shared" si="60"/>
        <v>Z211</v>
      </c>
      <c r="B281" s="17">
        <f t="shared" si="61"/>
        <v>280</v>
      </c>
      <c r="C281" s="18"/>
      <c r="D281" s="19" t="s">
        <v>60</v>
      </c>
      <c r="E281" s="15">
        <f t="shared" si="59"/>
        <v>211</v>
      </c>
      <c r="F281" s="15" t="str">
        <f t="shared" si="62"/>
        <v>Z211</v>
      </c>
      <c r="G281" s="15" t="e">
        <f t="shared" ca="1" si="58"/>
        <v>#REF!</v>
      </c>
    </row>
    <row r="282" spans="1:8" ht="12" hidden="1" customHeight="1">
      <c r="A282" s="17" t="str">
        <f t="shared" si="60"/>
        <v>Z212</v>
      </c>
      <c r="B282" s="17">
        <f t="shared" si="61"/>
        <v>281</v>
      </c>
      <c r="C282" s="18"/>
      <c r="D282" s="19" t="s">
        <v>60</v>
      </c>
      <c r="E282" s="15">
        <f t="shared" si="59"/>
        <v>212</v>
      </c>
      <c r="F282" s="15" t="str">
        <f t="shared" si="62"/>
        <v>Z212</v>
      </c>
      <c r="G282" s="15" t="e">
        <f t="shared" ca="1" si="58"/>
        <v>#REF!</v>
      </c>
    </row>
    <row r="283" spans="1:8" ht="12" hidden="1" customHeight="1">
      <c r="A283" s="17" t="str">
        <f t="shared" si="60"/>
        <v>Z213</v>
      </c>
      <c r="B283" s="17">
        <f t="shared" si="61"/>
        <v>282</v>
      </c>
      <c r="C283" s="18"/>
      <c r="D283" s="19" t="s">
        <v>60</v>
      </c>
      <c r="E283" s="15">
        <f t="shared" si="59"/>
        <v>213</v>
      </c>
      <c r="F283" s="15" t="str">
        <f t="shared" si="62"/>
        <v>Z213</v>
      </c>
      <c r="G283" s="15" t="e">
        <f t="shared" ca="1" si="58"/>
        <v>#REF!</v>
      </c>
    </row>
    <row r="284" spans="1:8" ht="12" hidden="1" customHeight="1">
      <c r="A284" s="17" t="str">
        <f t="shared" si="60"/>
        <v>Z214</v>
      </c>
      <c r="B284" s="17">
        <f t="shared" si="61"/>
        <v>283</v>
      </c>
      <c r="C284" s="18"/>
      <c r="D284" s="19" t="s">
        <v>60</v>
      </c>
      <c r="E284" s="15">
        <f t="shared" si="59"/>
        <v>214</v>
      </c>
      <c r="F284" s="15" t="str">
        <f t="shared" si="62"/>
        <v>Z214</v>
      </c>
      <c r="G284" s="15" t="e">
        <f t="shared" ca="1" si="58"/>
        <v>#REF!</v>
      </c>
    </row>
    <row r="285" spans="1:8" ht="12" hidden="1" customHeight="1">
      <c r="A285" s="17" t="str">
        <f t="shared" si="60"/>
        <v>Z215</v>
      </c>
      <c r="B285" s="17">
        <f t="shared" si="61"/>
        <v>284</v>
      </c>
      <c r="C285" s="18"/>
      <c r="D285" s="19" t="s">
        <v>60</v>
      </c>
      <c r="E285" s="15">
        <f t="shared" si="59"/>
        <v>215</v>
      </c>
      <c r="F285" s="15" t="str">
        <f t="shared" si="62"/>
        <v>Z215</v>
      </c>
      <c r="G285" s="15" t="e">
        <f t="shared" ca="1" si="58"/>
        <v>#REF!</v>
      </c>
    </row>
    <row r="286" spans="1:8" ht="12" hidden="1" customHeight="1">
      <c r="A286" s="17" t="str">
        <f t="shared" si="60"/>
        <v>Z216</v>
      </c>
      <c r="B286" s="17">
        <f t="shared" si="61"/>
        <v>285</v>
      </c>
      <c r="C286" s="18"/>
      <c r="D286" s="19" t="s">
        <v>60</v>
      </c>
      <c r="E286" s="15">
        <f t="shared" si="59"/>
        <v>216</v>
      </c>
      <c r="F286" s="15" t="str">
        <f t="shared" si="62"/>
        <v>Z216</v>
      </c>
      <c r="G286" s="15" t="e">
        <f t="shared" ca="1" si="58"/>
        <v>#REF!</v>
      </c>
    </row>
    <row r="287" spans="1:8" ht="12" hidden="1" customHeight="1">
      <c r="A287" s="17" t="str">
        <f t="shared" si="60"/>
        <v>Z217</v>
      </c>
      <c r="B287" s="17">
        <f t="shared" si="61"/>
        <v>286</v>
      </c>
      <c r="C287" s="18"/>
      <c r="D287" s="19" t="s">
        <v>60</v>
      </c>
      <c r="E287" s="15">
        <f t="shared" si="59"/>
        <v>217</v>
      </c>
      <c r="F287" s="15" t="str">
        <f t="shared" si="62"/>
        <v>Z217</v>
      </c>
      <c r="G287" s="15" t="e">
        <f t="shared" ca="1" si="58"/>
        <v>#REF!</v>
      </c>
    </row>
    <row r="288" spans="1:8" ht="12" hidden="1" customHeight="1"/>
    <row r="289" spans="14:15" ht="12" hidden="1" customHeight="1"/>
    <row r="290" spans="14:15" ht="12" hidden="1" customHeight="1">
      <c r="N290" s="41"/>
    </row>
    <row r="291" spans="14:15" hidden="1">
      <c r="N291" s="41"/>
    </row>
    <row r="292" spans="14:15">
      <c r="N292" s="41"/>
      <c r="O292" s="36"/>
    </row>
    <row r="293" spans="14:15">
      <c r="N293" s="41"/>
      <c r="O293" s="36"/>
    </row>
    <row r="294" spans="14:15">
      <c r="N294" s="41"/>
      <c r="O294" s="36"/>
    </row>
  </sheetData>
  <autoFilter ref="A1:I287" xr:uid="{00000000-0009-0000-0000-000001000000}">
    <sortState xmlns:xlrd2="http://schemas.microsoft.com/office/spreadsheetml/2017/richdata2" ref="A2:I287">
      <sortCondition ref="D2:D287"/>
      <sortCondition ref="C2:C287"/>
    </sortState>
  </autoFilter>
  <sortState xmlns:xlrd2="http://schemas.microsoft.com/office/spreadsheetml/2017/richdata2" ref="P2:R65">
    <sortCondition ref="P2:P65"/>
  </sortState>
  <phoneticPr fontId="18" type="noConversion"/>
  <conditionalFormatting sqref="A39:B43 D39:D43 A44:D287">
    <cfRule type="expression" dxfId="47" priority="38" stopIfTrue="1">
      <formula>IF($D39="Z",TRUE,FALSE)</formula>
    </cfRule>
    <cfRule type="expression" dxfId="46" priority="39" stopIfTrue="1">
      <formula>IF(OR($D39="B",$D39="D",$D39="F",$D39="H"),TRUE,FALSE)</formula>
    </cfRule>
  </conditionalFormatting>
  <conditionalFormatting sqref="A2:D33 A34:B35 D34:D35">
    <cfRule type="expression" dxfId="45" priority="19" stopIfTrue="1">
      <formula>IF($D2="Z",TRUE,FALSE)</formula>
    </cfRule>
    <cfRule type="expression" dxfId="44" priority="20" stopIfTrue="1">
      <formula>IF(OR($D2="B",$D2="D",$D2="F",$D2="H"),TRUE,FALSE)</formula>
    </cfRule>
  </conditionalFormatting>
  <conditionalFormatting sqref="A36:D38">
    <cfRule type="expression" dxfId="43" priority="27" stopIfTrue="1">
      <formula>IF($D36="Z",TRUE,FALSE)</formula>
    </cfRule>
    <cfRule type="expression" dxfId="42" priority="28" stopIfTrue="1">
      <formula>IF(OR($D36="B",$D36="D",$D36="F",$D36="H"),TRUE,FALSE)</formula>
    </cfRule>
  </conditionalFormatting>
  <conditionalFormatting sqref="C34">
    <cfRule type="expression" dxfId="41" priority="1" stopIfTrue="1">
      <formula>IF($D34="Z",TRUE,FALSE)</formula>
    </cfRule>
    <cfRule type="expression" dxfId="40" priority="2" stopIfTrue="1">
      <formula>IF(OR($D34="B",$D34="D",$D34="F",$D34="H"),TRUE,FALSE)</formula>
    </cfRule>
  </conditionalFormatting>
  <conditionalFormatting sqref="C39">
    <cfRule type="expression" dxfId="39" priority="17" stopIfTrue="1">
      <formula>IF($D39="Z",TRUE,FALSE)</formula>
    </cfRule>
    <cfRule type="expression" dxfId="38" priority="18" stopIfTrue="1">
      <formula>IF(OR($D39="B",$D39="D",$D39="F",$D39="H"),TRUE,FALSE)</formula>
    </cfRule>
  </conditionalFormatting>
  <conditionalFormatting sqref="C41">
    <cfRule type="expression" dxfId="37" priority="13" stopIfTrue="1">
      <formula>IF($D41="Z",TRUE,FALSE)</formula>
    </cfRule>
    <cfRule type="expression" dxfId="36" priority="14" stopIfTrue="1">
      <formula>IF(OR($D41="B",$D41="D",$D41="F",$D41="H"),TRUE,FALSE)</formula>
    </cfRule>
  </conditionalFormatting>
  <conditionalFormatting sqref="G2:G287">
    <cfRule type="colorScale" priority="49">
      <colorScale>
        <cfvo type="min"/>
        <cfvo type="percentile" val="50"/>
        <cfvo type="max"/>
        <color rgb="FF63BE7B"/>
        <color rgb="FFFCFCFF"/>
        <color rgb="FFF8696B"/>
      </colorScale>
    </cfRule>
  </conditionalFormatting>
  <printOptions horizontalCentered="1"/>
  <pageMargins left="0.23622047244094491" right="0.23622047244094491" top="0.74803149606299213" bottom="0.74803149606299213" header="0.31496062992125984" footer="0.31496062992125984"/>
  <pageSetup paperSize="9" scale="46" orientation="landscape" r:id="rId1"/>
  <headerFooter>
    <oddHeader>&amp;C&amp;A</oddHeader>
    <oddFooter>&amp;LPrepared by City Squash Club&amp;C&amp;F&amp;R&amp;D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35CC9-0963-4D77-AB2E-CF716A927A0B}">
  <dimension ref="A1:C46"/>
  <sheetViews>
    <sheetView workbookViewId="0">
      <selection activeCell="J53" sqref="J53"/>
    </sheetView>
  </sheetViews>
  <sheetFormatPr baseColWidth="10" defaultColWidth="8.83203125" defaultRowHeight="15"/>
  <cols>
    <col min="1" max="2" width="19.6640625" customWidth="1"/>
  </cols>
  <sheetData>
    <row r="1" spans="1:3">
      <c r="A1" s="16" t="s">
        <v>379</v>
      </c>
      <c r="B1" s="16" t="s">
        <v>389</v>
      </c>
      <c r="C1" s="16" t="s">
        <v>380</v>
      </c>
    </row>
    <row r="2" spans="1:3">
      <c r="A2" s="16" t="s">
        <v>630</v>
      </c>
      <c r="B2" s="83" t="s">
        <v>649</v>
      </c>
      <c r="C2" s="44" t="s">
        <v>631</v>
      </c>
    </row>
    <row r="3" spans="1:3">
      <c r="A3" s="16" t="s">
        <v>421</v>
      </c>
      <c r="B3" s="16" t="s">
        <v>424</v>
      </c>
      <c r="C3" s="16" t="s">
        <v>425</v>
      </c>
    </row>
    <row r="4" spans="1:3">
      <c r="A4" s="16" t="s">
        <v>360</v>
      </c>
      <c r="B4" s="16" t="s">
        <v>503</v>
      </c>
      <c r="C4" s="16" t="s">
        <v>504</v>
      </c>
    </row>
    <row r="5" spans="1:3">
      <c r="A5" s="16" t="s">
        <v>381</v>
      </c>
      <c r="B5" s="16" t="s">
        <v>388</v>
      </c>
      <c r="C5" s="16" t="s">
        <v>382</v>
      </c>
    </row>
    <row r="6" spans="1:3">
      <c r="A6" s="16" t="s">
        <v>355</v>
      </c>
      <c r="B6" s="16" t="s">
        <v>354</v>
      </c>
      <c r="C6" s="16" t="s">
        <v>356</v>
      </c>
    </row>
    <row r="7" spans="1:3">
      <c r="A7" s="16" t="s">
        <v>370</v>
      </c>
      <c r="B7" s="16" t="s">
        <v>662</v>
      </c>
      <c r="C7" s="16" t="s">
        <v>663</v>
      </c>
    </row>
    <row r="8" spans="1:3">
      <c r="A8" s="16" t="s">
        <v>364</v>
      </c>
      <c r="B8" s="16" t="s">
        <v>365</v>
      </c>
      <c r="C8" s="16" t="s">
        <v>366</v>
      </c>
    </row>
    <row r="9" spans="1:3">
      <c r="A9" s="16" t="s">
        <v>394</v>
      </c>
      <c r="B9" s="16" t="s">
        <v>392</v>
      </c>
      <c r="C9" s="16" t="s">
        <v>393</v>
      </c>
    </row>
    <row r="10" spans="1:3">
      <c r="A10" s="16" t="s">
        <v>585</v>
      </c>
      <c r="B10" s="82" t="s">
        <v>583</v>
      </c>
      <c r="C10" s="79" t="s">
        <v>584</v>
      </c>
    </row>
    <row r="11" spans="1:3">
      <c r="A11" s="16" t="s">
        <v>397</v>
      </c>
      <c r="B11" s="16" t="s">
        <v>398</v>
      </c>
      <c r="C11" s="16" t="s">
        <v>399</v>
      </c>
    </row>
    <row r="12" spans="1:3">
      <c r="A12" s="16" t="s">
        <v>418</v>
      </c>
      <c r="B12" s="16" t="s">
        <v>419</v>
      </c>
      <c r="C12" s="16" t="s">
        <v>420</v>
      </c>
    </row>
    <row r="13" spans="1:3">
      <c r="A13" s="16" t="s">
        <v>377</v>
      </c>
      <c r="B13" s="16" t="s">
        <v>396</v>
      </c>
      <c r="C13" s="16" t="s">
        <v>378</v>
      </c>
    </row>
    <row r="14" spans="1:3">
      <c r="A14" s="16" t="s">
        <v>586</v>
      </c>
      <c r="B14" s="82" t="s">
        <v>587</v>
      </c>
      <c r="C14" s="78" t="s">
        <v>588</v>
      </c>
    </row>
    <row r="15" spans="1:3">
      <c r="A15" s="16" t="s">
        <v>593</v>
      </c>
      <c r="B15" s="82" t="s">
        <v>595</v>
      </c>
      <c r="C15" s="78" t="s">
        <v>594</v>
      </c>
    </row>
    <row r="16" spans="1:3">
      <c r="A16" s="16" t="s">
        <v>628</v>
      </c>
      <c r="B16" s="82" t="s">
        <v>646</v>
      </c>
      <c r="C16" s="78"/>
    </row>
    <row r="17" spans="1:3">
      <c r="A17" s="16" t="s">
        <v>390</v>
      </c>
      <c r="B17" s="16" t="s">
        <v>363</v>
      </c>
      <c r="C17" s="16" t="s">
        <v>362</v>
      </c>
    </row>
    <row r="18" spans="1:3">
      <c r="A18" s="16" t="s">
        <v>549</v>
      </c>
      <c r="B18" s="16" t="s">
        <v>568</v>
      </c>
      <c r="C18" s="16" t="s">
        <v>569</v>
      </c>
    </row>
    <row r="19" spans="1:3">
      <c r="A19" s="16" t="s">
        <v>330</v>
      </c>
      <c r="B19" s="16" t="s">
        <v>335</v>
      </c>
      <c r="C19" s="16" t="s">
        <v>334</v>
      </c>
    </row>
    <row r="20" spans="1:3">
      <c r="A20" s="16" t="s">
        <v>427</v>
      </c>
      <c r="B20" s="16" t="s">
        <v>428</v>
      </c>
      <c r="C20" s="16" t="s">
        <v>426</v>
      </c>
    </row>
    <row r="21" spans="1:3">
      <c r="A21" s="16" t="s">
        <v>581</v>
      </c>
      <c r="B21" s="16" t="s">
        <v>340</v>
      </c>
      <c r="C21" s="16" t="s">
        <v>339</v>
      </c>
    </row>
    <row r="22" spans="1:3">
      <c r="A22" s="16" t="s">
        <v>400</v>
      </c>
      <c r="B22" s="16" t="s">
        <v>401</v>
      </c>
      <c r="C22" s="16" t="s">
        <v>402</v>
      </c>
    </row>
    <row r="23" spans="1:3">
      <c r="A23" s="16" t="s">
        <v>626</v>
      </c>
      <c r="B23" s="83" t="s">
        <v>645</v>
      </c>
      <c r="C23" s="79" t="s">
        <v>627</v>
      </c>
    </row>
    <row r="24" spans="1:3">
      <c r="A24" s="16" t="s">
        <v>331</v>
      </c>
      <c r="B24" s="16" t="s">
        <v>347</v>
      </c>
      <c r="C24" s="16" t="s">
        <v>348</v>
      </c>
    </row>
    <row r="25" spans="1:3">
      <c r="A25" s="16" t="s">
        <v>641</v>
      </c>
      <c r="B25" s="83" t="s">
        <v>651</v>
      </c>
      <c r="C25" s="44" t="s">
        <v>644</v>
      </c>
    </row>
    <row r="26" spans="1:3">
      <c r="A26" s="16" t="s">
        <v>407</v>
      </c>
      <c r="B26" s="16" t="s">
        <v>403</v>
      </c>
      <c r="C26" s="16" t="s">
        <v>404</v>
      </c>
    </row>
    <row r="27" spans="1:3">
      <c r="A27" s="16" t="s">
        <v>326</v>
      </c>
      <c r="B27" s="16" t="s">
        <v>350</v>
      </c>
      <c r="C27" s="16" t="s">
        <v>349</v>
      </c>
    </row>
    <row r="28" spans="1:3">
      <c r="A28" s="16" t="s">
        <v>385</v>
      </c>
      <c r="B28" s="16" t="s">
        <v>457</v>
      </c>
      <c r="C28" s="16" t="s">
        <v>443</v>
      </c>
    </row>
    <row r="29" spans="1:3">
      <c r="A29" s="16" t="s">
        <v>575</v>
      </c>
      <c r="B29" s="82" t="s">
        <v>579</v>
      </c>
      <c r="C29" t="s">
        <v>580</v>
      </c>
    </row>
    <row r="30" spans="1:3">
      <c r="A30" s="16" t="s">
        <v>321</v>
      </c>
      <c r="B30" s="16" t="s">
        <v>361</v>
      </c>
      <c r="C30" s="16" t="s">
        <v>336</v>
      </c>
    </row>
    <row r="31" spans="1:3">
      <c r="A31" s="16" t="s">
        <v>376</v>
      </c>
      <c r="B31" s="83" t="s">
        <v>672</v>
      </c>
      <c r="C31" s="44" t="s">
        <v>673</v>
      </c>
    </row>
    <row r="32" spans="1:3">
      <c r="A32" s="16" t="s">
        <v>181</v>
      </c>
      <c r="B32" s="83" t="s">
        <v>674</v>
      </c>
      <c r="C32" s="44" t="s">
        <v>675</v>
      </c>
    </row>
    <row r="33" spans="1:3">
      <c r="A33" s="16" t="s">
        <v>411</v>
      </c>
      <c r="B33" s="16" t="s">
        <v>456</v>
      </c>
      <c r="C33" s="16" t="s">
        <v>353</v>
      </c>
    </row>
    <row r="34" spans="1:3">
      <c r="A34" s="16" t="s">
        <v>357</v>
      </c>
      <c r="B34" s="16" t="s">
        <v>359</v>
      </c>
      <c r="C34" s="16" t="s">
        <v>358</v>
      </c>
    </row>
    <row r="35" spans="1:3">
      <c r="A35" s="16" t="s">
        <v>322</v>
      </c>
      <c r="B35" s="16" t="s">
        <v>345</v>
      </c>
      <c r="C35" s="16" t="s">
        <v>346</v>
      </c>
    </row>
    <row r="36" spans="1:3">
      <c r="A36" s="16" t="s">
        <v>371</v>
      </c>
      <c r="B36" s="16" t="s">
        <v>386</v>
      </c>
      <c r="C36" s="16" t="s">
        <v>374</v>
      </c>
    </row>
    <row r="37" spans="1:3">
      <c r="A37" s="16" t="s">
        <v>669</v>
      </c>
      <c r="B37" s="83" t="s">
        <v>670</v>
      </c>
      <c r="C37" s="79" t="s">
        <v>671</v>
      </c>
    </row>
    <row r="38" spans="1:3">
      <c r="A38" s="16" t="s">
        <v>624</v>
      </c>
      <c r="B38" s="83" t="s">
        <v>647</v>
      </c>
      <c r="C38" s="79" t="s">
        <v>625</v>
      </c>
    </row>
    <row r="39" spans="1:3">
      <c r="A39" s="16" t="s">
        <v>373</v>
      </c>
      <c r="B39" s="16" t="s">
        <v>387</v>
      </c>
      <c r="C39" s="16" t="s">
        <v>375</v>
      </c>
    </row>
    <row r="40" spans="1:3">
      <c r="A40" s="16" t="s">
        <v>384</v>
      </c>
      <c r="B40" s="16" t="s">
        <v>342</v>
      </c>
      <c r="C40" s="16" t="s">
        <v>341</v>
      </c>
    </row>
    <row r="41" spans="1:3">
      <c r="A41" s="16" t="s">
        <v>320</v>
      </c>
      <c r="B41" s="16" t="s">
        <v>352</v>
      </c>
      <c r="C41" s="16" t="s">
        <v>351</v>
      </c>
    </row>
    <row r="42" spans="1:3">
      <c r="A42" s="16" t="s">
        <v>329</v>
      </c>
      <c r="B42" s="16" t="s">
        <v>344</v>
      </c>
      <c r="C42" s="16" t="s">
        <v>343</v>
      </c>
    </row>
    <row r="43" spans="1:3">
      <c r="A43" s="16" t="s">
        <v>367</v>
      </c>
      <c r="B43" s="16" t="s">
        <v>369</v>
      </c>
      <c r="C43" s="16" t="s">
        <v>368</v>
      </c>
    </row>
    <row r="44" spans="1:3">
      <c r="A44" s="16" t="s">
        <v>629</v>
      </c>
      <c r="B44" s="83" t="s">
        <v>648</v>
      </c>
      <c r="C44" s="44" t="s">
        <v>632</v>
      </c>
    </row>
    <row r="45" spans="1:3">
      <c r="A45" s="16" t="s">
        <v>323</v>
      </c>
      <c r="B45" s="16" t="s">
        <v>337</v>
      </c>
      <c r="C45" s="16" t="s">
        <v>338</v>
      </c>
    </row>
    <row r="46" spans="1:3">
      <c r="A46" s="16" t="s">
        <v>642</v>
      </c>
      <c r="B46" s="83" t="s">
        <v>650</v>
      </c>
      <c r="C46" s="44" t="s">
        <v>643</v>
      </c>
    </row>
  </sheetData>
  <sortState xmlns:xlrd2="http://schemas.microsoft.com/office/spreadsheetml/2017/richdata2" ref="A2:C46">
    <sortCondition ref="A2:A46"/>
  </sortState>
  <phoneticPr fontId="18" type="noConversion"/>
  <hyperlinks>
    <hyperlink ref="C10" r:id="rId1" xr:uid="{DFF27DA7-8B0C-4091-AB36-78007D5FC059}"/>
    <hyperlink ref="C14" r:id="rId2" xr:uid="{9CB0A138-85E2-44DF-B312-E1723FEBB253}"/>
    <hyperlink ref="C15" r:id="rId3" xr:uid="{2F5B015C-46E9-41C4-A3D8-B3CAB96E2133}"/>
    <hyperlink ref="C38" r:id="rId4" xr:uid="{D2043D25-0336-4516-97B9-C1DEB71197E4}"/>
    <hyperlink ref="C23" r:id="rId5" xr:uid="{98E153C5-1A85-42E6-BC3E-92F5F833D03C}"/>
    <hyperlink ref="C2" r:id="rId6" xr:uid="{1178E283-6BC1-46EE-B9F6-930D95A476E5}"/>
    <hyperlink ref="C44" r:id="rId7" xr:uid="{0A87BD55-9954-4C9A-9ACC-E815904CFAD1}"/>
    <hyperlink ref="C46" r:id="rId8" xr:uid="{04DF6C6C-AFEE-4736-9541-D0068FF49DA0}"/>
    <hyperlink ref="C25" r:id="rId9" xr:uid="{3C96A1C8-DCCB-45B9-852E-BB5CB3767164}"/>
    <hyperlink ref="C37" r:id="rId10" xr:uid="{0A4A06BD-7129-4912-95D0-05938995D97E}"/>
    <hyperlink ref="C31" r:id="rId11" xr:uid="{9100CC49-B1B2-4E95-B47E-556B4DC5E20D}"/>
    <hyperlink ref="C32" r:id="rId12" xr:uid="{63887292-10F4-4A9D-95D9-EF7438E630A4}"/>
  </hyperlinks>
  <pageMargins left="0.7" right="0.7" top="0.75" bottom="0.75" header="0.3" footer="0.3"/>
  <pageSetup paperSize="120" orientation="portrait" horizontalDpi="203" verticalDpi="203" r:id="rId1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27F26-CF56-4773-A238-58E64F1541F4}">
  <sheetPr>
    <pageSetUpPr fitToPage="1"/>
  </sheetPr>
  <dimension ref="A2:S26"/>
  <sheetViews>
    <sheetView workbookViewId="0">
      <selection activeCell="B17" sqref="B17"/>
    </sheetView>
  </sheetViews>
  <sheetFormatPr baseColWidth="10" defaultColWidth="8.83203125" defaultRowHeight="15"/>
  <cols>
    <col min="1" max="1" width="4.1640625" style="61" customWidth="1"/>
    <col min="2" max="2" width="16.33203125" customWidth="1"/>
    <col min="3" max="3" width="3.6640625" customWidth="1"/>
    <col min="4" max="4" width="16.33203125" customWidth="1"/>
    <col min="5" max="5" width="8.83203125" customWidth="1"/>
    <col min="6" max="6" width="17.33203125" customWidth="1"/>
    <col min="8" max="8" width="8.83203125" customWidth="1"/>
  </cols>
  <sheetData>
    <row r="2" spans="1:19" ht="19">
      <c r="A2" s="147" t="s">
        <v>542</v>
      </c>
      <c r="B2" s="147"/>
      <c r="C2" s="147"/>
      <c r="D2" s="147"/>
      <c r="E2" s="147"/>
      <c r="F2" s="147"/>
      <c r="G2" s="147"/>
      <c r="H2" s="147"/>
      <c r="I2" s="147"/>
    </row>
    <row r="3" spans="1:19" s="62" customFormat="1" ht="24">
      <c r="L3" s="63">
        <v>1</v>
      </c>
    </row>
    <row r="4" spans="1:19" s="62" customFormat="1" ht="24">
      <c r="B4" s="73" t="s">
        <v>574</v>
      </c>
      <c r="K4" s="64">
        <v>2</v>
      </c>
      <c r="M4" s="64">
        <v>3</v>
      </c>
    </row>
    <row r="5" spans="1:19" s="62" customFormat="1" ht="24">
      <c r="J5" s="65">
        <v>4</v>
      </c>
      <c r="L5" s="65">
        <v>5</v>
      </c>
      <c r="N5" s="65">
        <v>6</v>
      </c>
    </row>
    <row r="6" spans="1:19" s="62" customFormat="1" ht="24">
      <c r="I6" s="66">
        <v>7</v>
      </c>
      <c r="K6" s="66">
        <v>8</v>
      </c>
      <c r="M6" s="66">
        <v>9</v>
      </c>
      <c r="O6" s="66">
        <v>10</v>
      </c>
    </row>
    <row r="7" spans="1:19" s="62" customFormat="1" ht="24">
      <c r="H7" s="67">
        <v>11</v>
      </c>
      <c r="J7" s="67">
        <v>12</v>
      </c>
      <c r="L7" s="67">
        <v>13</v>
      </c>
      <c r="N7" s="67">
        <v>14</v>
      </c>
      <c r="P7" s="67">
        <v>15</v>
      </c>
    </row>
    <row r="8" spans="1:19" s="62" customFormat="1" ht="24">
      <c r="G8" s="68">
        <v>16</v>
      </c>
      <c r="I8" s="68">
        <v>17</v>
      </c>
      <c r="K8" s="68">
        <v>18</v>
      </c>
      <c r="M8" s="68">
        <v>19</v>
      </c>
      <c r="O8" s="68">
        <v>20</v>
      </c>
      <c r="Q8" s="68">
        <v>21</v>
      </c>
    </row>
    <row r="9" spans="1:19" s="62" customFormat="1" ht="24">
      <c r="F9" s="69">
        <v>22</v>
      </c>
      <c r="H9" s="69">
        <v>23</v>
      </c>
      <c r="J9" s="69">
        <v>24</v>
      </c>
      <c r="L9" s="69">
        <v>25</v>
      </c>
      <c r="N9" s="69">
        <v>26</v>
      </c>
      <c r="P9" s="69">
        <v>27</v>
      </c>
      <c r="R9" s="69">
        <v>28</v>
      </c>
    </row>
    <row r="10" spans="1:19" ht="24">
      <c r="B10" s="42" t="s">
        <v>652</v>
      </c>
      <c r="E10" s="70">
        <v>29</v>
      </c>
      <c r="F10" s="71"/>
      <c r="G10" s="70">
        <v>30</v>
      </c>
      <c r="H10" s="71"/>
      <c r="I10" s="70">
        <v>31</v>
      </c>
      <c r="J10" s="71"/>
      <c r="K10" s="70">
        <v>32</v>
      </c>
      <c r="L10" s="71"/>
      <c r="M10" s="70">
        <v>33</v>
      </c>
      <c r="N10" s="71"/>
      <c r="O10" s="70">
        <v>34</v>
      </c>
      <c r="P10" s="71"/>
      <c r="Q10" s="70">
        <v>35</v>
      </c>
      <c r="R10" s="71"/>
      <c r="S10" s="70">
        <v>36</v>
      </c>
    </row>
    <row r="12" spans="1:19">
      <c r="A12" s="61" t="s">
        <v>522</v>
      </c>
      <c r="B12" t="s">
        <v>320</v>
      </c>
      <c r="C12" s="61" t="s">
        <v>537</v>
      </c>
      <c r="D12" t="s">
        <v>331</v>
      </c>
      <c r="E12" s="61" t="s">
        <v>557</v>
      </c>
      <c r="F12" t="s">
        <v>506</v>
      </c>
    </row>
    <row r="13" spans="1:19">
      <c r="A13" s="61" t="s">
        <v>523</v>
      </c>
      <c r="B13" t="s">
        <v>578</v>
      </c>
      <c r="C13" s="61" t="s">
        <v>538</v>
      </c>
      <c r="D13" t="s">
        <v>326</v>
      </c>
      <c r="E13" s="61" t="s">
        <v>558</v>
      </c>
      <c r="F13" t="s">
        <v>563</v>
      </c>
    </row>
    <row r="14" spans="1:19">
      <c r="A14" s="61" t="s">
        <v>524</v>
      </c>
      <c r="B14" t="s">
        <v>323</v>
      </c>
      <c r="C14" s="61" t="s">
        <v>539</v>
      </c>
      <c r="D14" t="s">
        <v>379</v>
      </c>
      <c r="E14" s="61" t="s">
        <v>559</v>
      </c>
      <c r="F14" t="s">
        <v>549</v>
      </c>
    </row>
    <row r="15" spans="1:19">
      <c r="A15" s="61" t="s">
        <v>525</v>
      </c>
      <c r="B15" t="s">
        <v>357</v>
      </c>
      <c r="C15" s="61" t="s">
        <v>540</v>
      </c>
      <c r="D15" t="s">
        <v>376</v>
      </c>
      <c r="E15" s="61" t="s">
        <v>560</v>
      </c>
      <c r="F15" t="s">
        <v>360</v>
      </c>
    </row>
    <row r="16" spans="1:19">
      <c r="A16" s="61" t="s">
        <v>526</v>
      </c>
      <c r="B16" t="s">
        <v>390</v>
      </c>
      <c r="C16" s="61" t="s">
        <v>541</v>
      </c>
      <c r="D16" t="s">
        <v>570</v>
      </c>
      <c r="E16" s="61" t="s">
        <v>561</v>
      </c>
      <c r="F16" t="s">
        <v>370</v>
      </c>
    </row>
    <row r="17" spans="1:6">
      <c r="A17" s="61" t="s">
        <v>527</v>
      </c>
      <c r="B17" t="s">
        <v>321</v>
      </c>
      <c r="C17" s="61" t="s">
        <v>545</v>
      </c>
      <c r="D17" t="s">
        <v>329</v>
      </c>
      <c r="E17" s="61" t="s">
        <v>562</v>
      </c>
      <c r="F17" t="s">
        <v>575</v>
      </c>
    </row>
    <row r="18" spans="1:6">
      <c r="A18" s="61" t="s">
        <v>528</v>
      </c>
      <c r="B18" t="s">
        <v>413</v>
      </c>
      <c r="C18" s="61" t="s">
        <v>546</v>
      </c>
      <c r="D18" t="s">
        <v>544</v>
      </c>
      <c r="E18" s="61"/>
    </row>
    <row r="19" spans="1:6">
      <c r="A19" s="61" t="s">
        <v>529</v>
      </c>
      <c r="B19" t="s">
        <v>381</v>
      </c>
      <c r="C19" s="61" t="s">
        <v>547</v>
      </c>
      <c r="D19" t="s">
        <v>408</v>
      </c>
      <c r="E19" s="61"/>
    </row>
    <row r="20" spans="1:6">
      <c r="A20" s="61" t="s">
        <v>530</v>
      </c>
      <c r="B20" t="s">
        <v>442</v>
      </c>
      <c r="C20" s="61" t="s">
        <v>548</v>
      </c>
      <c r="D20" t="s">
        <v>394</v>
      </c>
      <c r="E20" s="61"/>
    </row>
    <row r="21" spans="1:6">
      <c r="A21" s="61" t="s">
        <v>531</v>
      </c>
      <c r="B21" t="s">
        <v>567</v>
      </c>
      <c r="C21" s="61" t="s">
        <v>551</v>
      </c>
      <c r="D21" t="s">
        <v>373</v>
      </c>
      <c r="E21" s="61"/>
    </row>
    <row r="22" spans="1:6">
      <c r="A22" s="61" t="s">
        <v>532</v>
      </c>
      <c r="B22" t="s">
        <v>384</v>
      </c>
      <c r="C22" s="61" t="s">
        <v>552</v>
      </c>
      <c r="D22" t="s">
        <v>550</v>
      </c>
      <c r="E22" s="61"/>
    </row>
    <row r="23" spans="1:6">
      <c r="A23" s="61" t="s">
        <v>533</v>
      </c>
      <c r="B23" t="s">
        <v>322</v>
      </c>
      <c r="C23" s="61" t="s">
        <v>553</v>
      </c>
      <c r="D23" t="s">
        <v>400</v>
      </c>
      <c r="E23" s="61"/>
    </row>
    <row r="24" spans="1:6">
      <c r="A24" s="61" t="s">
        <v>534</v>
      </c>
      <c r="B24" t="s">
        <v>410</v>
      </c>
      <c r="C24" s="61" t="s">
        <v>554</v>
      </c>
      <c r="D24" t="s">
        <v>364</v>
      </c>
      <c r="E24" s="61"/>
    </row>
    <row r="25" spans="1:6">
      <c r="A25" s="61" t="s">
        <v>535</v>
      </c>
      <c r="B25" t="s">
        <v>543</v>
      </c>
      <c r="C25" s="61" t="s">
        <v>555</v>
      </c>
      <c r="D25" t="s">
        <v>407</v>
      </c>
      <c r="E25" s="61"/>
    </row>
    <row r="26" spans="1:6">
      <c r="A26" s="61" t="s">
        <v>536</v>
      </c>
      <c r="B26" t="s">
        <v>324</v>
      </c>
      <c r="C26" s="61" t="s">
        <v>556</v>
      </c>
      <c r="D26" t="s">
        <v>427</v>
      </c>
      <c r="E26" s="61"/>
    </row>
  </sheetData>
  <mergeCells count="1">
    <mergeCell ref="A2:I2"/>
  </mergeCells>
  <phoneticPr fontId="18" type="noConversion"/>
  <pageMargins left="0.7" right="0.7" top="0.75" bottom="0.75" header="0.3" footer="0.3"/>
  <pageSetup paperSize="120" scale="72" orientation="landscape" horizontalDpi="203" verticalDpi="20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8D8CE-7500-4858-A98E-9368DE5AE140}">
  <sheetPr>
    <tabColor rgb="FFFFFF00"/>
  </sheetPr>
  <dimension ref="A2:P27"/>
  <sheetViews>
    <sheetView topLeftCell="E3" zoomScale="110" zoomScaleNormal="110" workbookViewId="0">
      <selection activeCell="O5" sqref="O5"/>
    </sheetView>
  </sheetViews>
  <sheetFormatPr baseColWidth="10" defaultColWidth="8.83203125" defaultRowHeight="15"/>
  <cols>
    <col min="1" max="1" width="8.1640625" customWidth="1"/>
    <col min="2" max="2" width="15.1640625" customWidth="1"/>
    <col min="3" max="4" width="15" customWidth="1"/>
    <col min="5" max="5" width="14.6640625" customWidth="1"/>
    <col min="6" max="6" width="15" customWidth="1"/>
    <col min="7" max="7" width="14.83203125" customWidth="1"/>
    <col min="8" max="8" width="12.6640625" customWidth="1"/>
    <col min="9" max="9" width="15.5" customWidth="1"/>
    <col min="10" max="10" width="14.5" customWidth="1"/>
    <col min="11" max="11" width="15" customWidth="1"/>
    <col min="12" max="15" width="15.5" customWidth="1"/>
    <col min="16" max="16" width="12.83203125" customWidth="1"/>
  </cols>
  <sheetData>
    <row r="2" spans="1:16">
      <c r="B2" s="4"/>
      <c r="C2" s="4"/>
      <c r="D2" s="4"/>
      <c r="E2" s="4"/>
    </row>
    <row r="3" spans="1:16" ht="19">
      <c r="A3" s="45" t="s">
        <v>429</v>
      </c>
      <c r="B3" s="4"/>
      <c r="C3" s="4"/>
      <c r="D3" s="4"/>
      <c r="E3" s="4"/>
    </row>
    <row r="4" spans="1:16">
      <c r="B4" s="4"/>
      <c r="C4" s="4"/>
      <c r="D4" s="4"/>
      <c r="E4" s="4"/>
    </row>
    <row r="5" spans="1:16">
      <c r="A5" s="42" t="s">
        <v>412</v>
      </c>
      <c r="B5" s="43" t="s">
        <v>516</v>
      </c>
      <c r="C5" s="43" t="s">
        <v>515</v>
      </c>
      <c r="D5" s="43" t="s">
        <v>514</v>
      </c>
      <c r="E5" s="43" t="s">
        <v>513</v>
      </c>
      <c r="F5" s="43" t="s">
        <v>512</v>
      </c>
      <c r="G5" s="43" t="s">
        <v>511</v>
      </c>
      <c r="H5" s="43" t="s">
        <v>417</v>
      </c>
      <c r="I5" s="43" t="s">
        <v>510</v>
      </c>
      <c r="J5" s="43" t="s">
        <v>521</v>
      </c>
      <c r="K5" s="43" t="s">
        <v>571</v>
      </c>
      <c r="L5" s="43" t="s">
        <v>576</v>
      </c>
      <c r="M5" s="43" t="s">
        <v>592</v>
      </c>
      <c r="N5" s="88" t="s">
        <v>596</v>
      </c>
      <c r="O5" s="76" t="s">
        <v>681</v>
      </c>
      <c r="P5" s="42" t="s">
        <v>412</v>
      </c>
    </row>
    <row r="6" spans="1:16">
      <c r="B6" s="4"/>
      <c r="C6" s="4"/>
      <c r="D6" s="4"/>
      <c r="E6" s="4"/>
      <c r="K6" s="72"/>
      <c r="N6" s="72"/>
      <c r="O6" s="49"/>
    </row>
    <row r="7" spans="1:16">
      <c r="A7" s="46" t="s">
        <v>430</v>
      </c>
      <c r="B7" s="47" t="s">
        <v>321</v>
      </c>
      <c r="C7" s="48" t="s">
        <v>320</v>
      </c>
      <c r="D7" s="48" t="s">
        <v>320</v>
      </c>
      <c r="E7" s="48" t="s">
        <v>357</v>
      </c>
      <c r="F7" s="48" t="s">
        <v>320</v>
      </c>
      <c r="G7" s="48" t="s">
        <v>320</v>
      </c>
      <c r="H7" s="48" t="s">
        <v>320</v>
      </c>
      <c r="I7" s="4" t="s">
        <v>320</v>
      </c>
      <c r="J7" s="4" t="s">
        <v>320</v>
      </c>
      <c r="K7" s="75" t="s">
        <v>323</v>
      </c>
      <c r="L7" s="4" t="s">
        <v>357</v>
      </c>
      <c r="M7" s="4" t="s">
        <v>320</v>
      </c>
      <c r="N7" s="75" t="s">
        <v>357</v>
      </c>
      <c r="O7" s="50" t="s">
        <v>385</v>
      </c>
      <c r="P7" s="46" t="s">
        <v>430</v>
      </c>
    </row>
    <row r="8" spans="1:16">
      <c r="A8" t="s">
        <v>431</v>
      </c>
      <c r="B8" s="4" t="s">
        <v>320</v>
      </c>
      <c r="C8" s="4" t="s">
        <v>357</v>
      </c>
      <c r="D8" s="4" t="s">
        <v>357</v>
      </c>
      <c r="E8" s="4" t="s">
        <v>322</v>
      </c>
      <c r="F8" s="4" t="s">
        <v>322</v>
      </c>
      <c r="G8" s="4" t="s">
        <v>323</v>
      </c>
      <c r="H8" s="4" t="s">
        <v>357</v>
      </c>
      <c r="I8" s="4" t="s">
        <v>323</v>
      </c>
      <c r="J8" s="4" t="s">
        <v>323</v>
      </c>
      <c r="K8" s="75" t="s">
        <v>320</v>
      </c>
      <c r="L8" s="4" t="s">
        <v>323</v>
      </c>
      <c r="M8" s="4" t="s">
        <v>357</v>
      </c>
      <c r="N8" s="75" t="s">
        <v>320</v>
      </c>
      <c r="O8" s="50" t="s">
        <v>320</v>
      </c>
      <c r="P8" t="s">
        <v>431</v>
      </c>
    </row>
    <row r="9" spans="1:16">
      <c r="A9" t="s">
        <v>432</v>
      </c>
      <c r="B9" s="4" t="s">
        <v>322</v>
      </c>
      <c r="C9" s="4" t="s">
        <v>323</v>
      </c>
      <c r="D9" s="4" t="s">
        <v>321</v>
      </c>
      <c r="E9" s="4" t="s">
        <v>320</v>
      </c>
      <c r="F9" s="4" t="s">
        <v>357</v>
      </c>
      <c r="G9" s="4" t="s">
        <v>357</v>
      </c>
      <c r="H9" s="4" t="s">
        <v>322</v>
      </c>
      <c r="I9" s="4" t="s">
        <v>322</v>
      </c>
      <c r="J9" s="4" t="s">
        <v>322</v>
      </c>
      <c r="K9" s="75" t="s">
        <v>322</v>
      </c>
      <c r="L9" s="4" t="s">
        <v>320</v>
      </c>
      <c r="M9" s="4" t="s">
        <v>323</v>
      </c>
      <c r="N9" s="75" t="s">
        <v>323</v>
      </c>
      <c r="O9" s="50" t="s">
        <v>357</v>
      </c>
      <c r="P9" t="s">
        <v>432</v>
      </c>
    </row>
    <row r="10" spans="1:16">
      <c r="B10" s="4"/>
      <c r="C10" s="4"/>
      <c r="D10" s="4"/>
      <c r="E10" s="4"/>
      <c r="K10" s="72"/>
      <c r="N10" s="72"/>
      <c r="O10" s="49"/>
    </row>
    <row r="11" spans="1:16">
      <c r="A11" s="46" t="s">
        <v>433</v>
      </c>
      <c r="B11" s="48" t="s">
        <v>324</v>
      </c>
      <c r="C11" s="48" t="s">
        <v>385</v>
      </c>
      <c r="D11" s="48" t="s">
        <v>390</v>
      </c>
      <c r="E11" s="48" t="s">
        <v>324</v>
      </c>
      <c r="F11" s="48" t="s">
        <v>390</v>
      </c>
      <c r="G11" s="48" t="s">
        <v>391</v>
      </c>
      <c r="H11" s="48" t="s">
        <v>379</v>
      </c>
      <c r="I11" s="4" t="s">
        <v>441</v>
      </c>
      <c r="J11" s="4" t="s">
        <v>413</v>
      </c>
      <c r="K11" s="75" t="s">
        <v>442</v>
      </c>
      <c r="L11" s="4" t="s">
        <v>390</v>
      </c>
      <c r="M11" s="4" t="s">
        <v>321</v>
      </c>
      <c r="N11" s="75" t="s">
        <v>322</v>
      </c>
      <c r="O11" s="50" t="s">
        <v>413</v>
      </c>
      <c r="P11" s="46" t="s">
        <v>433</v>
      </c>
    </row>
    <row r="12" spans="1:16">
      <c r="A12" t="s">
        <v>434</v>
      </c>
      <c r="B12" s="4" t="s">
        <v>413</v>
      </c>
      <c r="C12" s="4" t="s">
        <v>410</v>
      </c>
      <c r="D12" s="4" t="s">
        <v>384</v>
      </c>
      <c r="E12" s="4" t="s">
        <v>385</v>
      </c>
      <c r="F12" s="4" t="s">
        <v>413</v>
      </c>
      <c r="G12" s="4" t="s">
        <v>410</v>
      </c>
      <c r="H12" s="4" t="s">
        <v>384</v>
      </c>
      <c r="I12" s="4" t="s">
        <v>442</v>
      </c>
      <c r="J12" s="4" t="s">
        <v>385</v>
      </c>
      <c r="K12" s="75" t="s">
        <v>385</v>
      </c>
      <c r="L12" s="4" t="s">
        <v>321</v>
      </c>
      <c r="M12" s="4" t="s">
        <v>326</v>
      </c>
      <c r="N12" s="75" t="s">
        <v>384</v>
      </c>
      <c r="O12" s="50" t="s">
        <v>679</v>
      </c>
      <c r="P12" t="s">
        <v>434</v>
      </c>
    </row>
    <row r="13" spans="1:16">
      <c r="B13" s="4"/>
      <c r="C13" s="4"/>
      <c r="D13" s="4"/>
      <c r="E13" s="4"/>
      <c r="K13" s="72"/>
      <c r="N13" s="72"/>
      <c r="O13" s="49"/>
    </row>
    <row r="14" spans="1:16">
      <c r="A14" s="46" t="s">
        <v>435</v>
      </c>
      <c r="B14" s="48" t="s">
        <v>328</v>
      </c>
      <c r="C14" s="48" t="s">
        <v>409</v>
      </c>
      <c r="D14" s="48" t="s">
        <v>328</v>
      </c>
      <c r="E14" s="48" t="s">
        <v>355</v>
      </c>
      <c r="F14" s="48" t="s">
        <v>379</v>
      </c>
      <c r="G14" s="48" t="s">
        <v>325</v>
      </c>
      <c r="H14" s="48" t="s">
        <v>409</v>
      </c>
      <c r="I14" s="4" t="s">
        <v>400</v>
      </c>
      <c r="J14" s="4" t="s">
        <v>410</v>
      </c>
      <c r="K14" s="75" t="s">
        <v>355</v>
      </c>
      <c r="L14" s="4" t="s">
        <v>410</v>
      </c>
      <c r="M14" s="4" t="s">
        <v>384</v>
      </c>
      <c r="N14" s="75" t="s">
        <v>379</v>
      </c>
      <c r="O14" s="50" t="s">
        <v>585</v>
      </c>
      <c r="P14" s="46" t="s">
        <v>435</v>
      </c>
    </row>
    <row r="15" spans="1:16">
      <c r="A15" t="s">
        <v>436</v>
      </c>
      <c r="B15" s="4" t="s">
        <v>326</v>
      </c>
      <c r="C15" s="4" t="s">
        <v>414</v>
      </c>
      <c r="D15" s="4" t="s">
        <v>415</v>
      </c>
      <c r="E15" s="4" t="s">
        <v>409</v>
      </c>
      <c r="F15" s="4" t="s">
        <v>381</v>
      </c>
      <c r="G15" s="4" t="s">
        <v>405</v>
      </c>
      <c r="H15" s="4" t="s">
        <v>381</v>
      </c>
      <c r="I15" s="4" t="s">
        <v>326</v>
      </c>
      <c r="J15" s="4" t="s">
        <v>355</v>
      </c>
      <c r="K15" s="75" t="s">
        <v>331</v>
      </c>
      <c r="L15" s="4" t="s">
        <v>326</v>
      </c>
      <c r="M15" s="4" t="s">
        <v>381</v>
      </c>
      <c r="N15" s="75" t="s">
        <v>400</v>
      </c>
      <c r="O15" s="50" t="s">
        <v>329</v>
      </c>
      <c r="P15" t="s">
        <v>436</v>
      </c>
    </row>
    <row r="16" spans="1:16">
      <c r="B16" s="4"/>
      <c r="C16" s="4"/>
      <c r="D16" s="4"/>
      <c r="E16" s="4"/>
      <c r="K16" s="72"/>
      <c r="N16" s="72"/>
      <c r="O16" s="49"/>
    </row>
    <row r="17" spans="1:16">
      <c r="A17" s="46" t="s">
        <v>437</v>
      </c>
      <c r="B17" s="48" t="s">
        <v>409</v>
      </c>
      <c r="C17" s="48" t="s">
        <v>364</v>
      </c>
      <c r="D17" s="48" t="s">
        <v>408</v>
      </c>
      <c r="E17" s="48" t="s">
        <v>379</v>
      </c>
      <c r="F17" s="48" t="s">
        <v>376</v>
      </c>
      <c r="G17" s="48" t="s">
        <v>406</v>
      </c>
      <c r="H17" s="48" t="s">
        <v>400</v>
      </c>
      <c r="I17" s="4" t="s">
        <v>371</v>
      </c>
      <c r="J17" s="4" t="s">
        <v>381</v>
      </c>
      <c r="K17" s="75" t="s">
        <v>406</v>
      </c>
      <c r="L17" s="4" t="s">
        <v>400</v>
      </c>
      <c r="M17" s="4" t="s">
        <v>379</v>
      </c>
      <c r="N17" s="75" t="s">
        <v>597</v>
      </c>
      <c r="O17" s="50" t="s">
        <v>377</v>
      </c>
      <c r="P17" s="46" t="s">
        <v>437</v>
      </c>
    </row>
    <row r="18" spans="1:16">
      <c r="A18" t="s">
        <v>438</v>
      </c>
      <c r="B18" s="4" t="s">
        <v>415</v>
      </c>
      <c r="C18" s="4" t="s">
        <v>360</v>
      </c>
      <c r="D18" s="4" t="s">
        <v>416</v>
      </c>
      <c r="E18" s="4" t="s">
        <v>381</v>
      </c>
      <c r="F18" s="4" t="s">
        <v>370</v>
      </c>
      <c r="G18" s="4" t="s">
        <v>394</v>
      </c>
      <c r="H18" s="4" t="s">
        <v>397</v>
      </c>
      <c r="I18" s="4" t="s">
        <v>370</v>
      </c>
      <c r="J18" s="4" t="s">
        <v>406</v>
      </c>
      <c r="K18" s="75" t="s">
        <v>329</v>
      </c>
      <c r="L18" s="4" t="s">
        <v>329</v>
      </c>
      <c r="M18" s="4" t="s">
        <v>371</v>
      </c>
      <c r="N18" s="75" t="s">
        <v>394</v>
      </c>
      <c r="O18" s="50" t="s">
        <v>367</v>
      </c>
      <c r="P18" t="s">
        <v>438</v>
      </c>
    </row>
    <row r="19" spans="1:16">
      <c r="B19" s="4"/>
      <c r="C19" s="4"/>
      <c r="D19" s="4"/>
      <c r="E19" s="4"/>
      <c r="K19" s="72"/>
      <c r="N19" s="72"/>
      <c r="O19" s="49"/>
    </row>
    <row r="20" spans="1:16">
      <c r="A20" s="46" t="s">
        <v>439</v>
      </c>
      <c r="B20" s="48"/>
      <c r="C20" s="48"/>
      <c r="D20" s="48"/>
      <c r="E20" s="48" t="s">
        <v>376</v>
      </c>
      <c r="F20" s="48" t="s">
        <v>394</v>
      </c>
      <c r="G20" s="48" t="s">
        <v>397</v>
      </c>
      <c r="H20" s="48" t="s">
        <v>372</v>
      </c>
      <c r="I20" s="4"/>
      <c r="J20" s="4" t="s">
        <v>421</v>
      </c>
      <c r="K20" s="75" t="s">
        <v>373</v>
      </c>
      <c r="L20" s="4" t="s">
        <v>371</v>
      </c>
      <c r="M20" s="4" t="s">
        <v>394</v>
      </c>
      <c r="N20" s="75" t="s">
        <v>377</v>
      </c>
      <c r="O20" s="50" t="s">
        <v>641</v>
      </c>
      <c r="P20" s="46" t="s">
        <v>439</v>
      </c>
    </row>
    <row r="21" spans="1:16">
      <c r="A21" t="s">
        <v>440</v>
      </c>
      <c r="B21" s="4"/>
      <c r="C21" s="4"/>
      <c r="D21" s="4"/>
      <c r="E21" s="4" t="s">
        <v>377</v>
      </c>
      <c r="F21" s="4" t="s">
        <v>367</v>
      </c>
      <c r="G21" s="4" t="s">
        <v>400</v>
      </c>
      <c r="H21" s="4" t="s">
        <v>407</v>
      </c>
      <c r="I21" s="4"/>
      <c r="J21" s="4" t="s">
        <v>408</v>
      </c>
      <c r="K21" s="75" t="s">
        <v>572</v>
      </c>
      <c r="L21" s="4" t="s">
        <v>550</v>
      </c>
      <c r="M21" s="4" t="s">
        <v>585</v>
      </c>
      <c r="N21" s="75" t="s">
        <v>407</v>
      </c>
      <c r="O21" s="50" t="s">
        <v>575</v>
      </c>
      <c r="P21" t="s">
        <v>440</v>
      </c>
    </row>
    <row r="22" spans="1:16">
      <c r="B22" s="4"/>
      <c r="C22" s="4"/>
      <c r="D22" s="4"/>
      <c r="E22" s="4"/>
      <c r="K22" s="72"/>
      <c r="N22" s="72"/>
      <c r="O22" s="49"/>
    </row>
    <row r="23" spans="1:16">
      <c r="A23" t="s">
        <v>517</v>
      </c>
      <c r="J23" s="4" t="s">
        <v>371</v>
      </c>
      <c r="K23" s="75" t="s">
        <v>360</v>
      </c>
      <c r="L23" s="4" t="s">
        <v>367</v>
      </c>
      <c r="M23" s="4" t="s">
        <v>549</v>
      </c>
      <c r="N23" s="75"/>
      <c r="O23" s="50"/>
      <c r="P23" t="s">
        <v>517</v>
      </c>
    </row>
    <row r="24" spans="1:16">
      <c r="A24" t="s">
        <v>518</v>
      </c>
      <c r="J24" s="4" t="s">
        <v>372</v>
      </c>
      <c r="K24" s="75" t="s">
        <v>407</v>
      </c>
      <c r="L24" s="4" t="s">
        <v>549</v>
      </c>
      <c r="M24" s="4" t="s">
        <v>377</v>
      </c>
      <c r="N24" s="75"/>
      <c r="O24" s="50"/>
      <c r="P24" t="s">
        <v>518</v>
      </c>
    </row>
    <row r="25" spans="1:16">
      <c r="J25" s="4"/>
      <c r="K25" s="75"/>
    </row>
    <row r="26" spans="1:16">
      <c r="A26" t="s">
        <v>519</v>
      </c>
      <c r="J26" s="4" t="s">
        <v>407</v>
      </c>
      <c r="K26" s="75" t="s">
        <v>367</v>
      </c>
      <c r="P26" t="s">
        <v>519</v>
      </c>
    </row>
    <row r="27" spans="1:16">
      <c r="A27" t="s">
        <v>520</v>
      </c>
      <c r="J27" s="4" t="s">
        <v>444</v>
      </c>
      <c r="K27" s="75" t="s">
        <v>549</v>
      </c>
      <c r="P27" t="s">
        <v>520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F257D-E5D5-41F4-A900-9D58CF664B53}">
  <dimension ref="A1"/>
  <sheetViews>
    <sheetView workbookViewId="0"/>
  </sheetViews>
  <sheetFormatPr baseColWidth="10" defaultColWidth="8.83203125"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B1210-B238-4603-B1D8-58793A350654}">
  <dimension ref="A1:R46"/>
  <sheetViews>
    <sheetView zoomScale="80" zoomScaleNormal="80" workbookViewId="0">
      <selection activeCell="V9" sqref="V9"/>
    </sheetView>
  </sheetViews>
  <sheetFormatPr baseColWidth="10" defaultColWidth="8.83203125" defaultRowHeight="15"/>
  <cols>
    <col min="2" max="2" width="17" customWidth="1"/>
    <col min="3" max="3" width="9.5" customWidth="1"/>
    <col min="4" max="4" width="17" customWidth="1"/>
    <col min="5" max="5" width="3.5" customWidth="1"/>
    <col min="7" max="7" width="17" customWidth="1"/>
    <col min="10" max="10" width="17" customWidth="1"/>
    <col min="12" max="12" width="21" customWidth="1"/>
    <col min="14" max="14" width="19.83203125" customWidth="1"/>
    <col min="16" max="16" width="13.1640625" customWidth="1"/>
    <col min="18" max="18" width="19.83203125" customWidth="1"/>
    <col min="22" max="22" width="18.83203125" customWidth="1"/>
    <col min="24" max="24" width="17.5" customWidth="1"/>
  </cols>
  <sheetData>
    <row r="1" spans="1:18">
      <c r="B1" t="s">
        <v>507</v>
      </c>
      <c r="D1" t="s">
        <v>508</v>
      </c>
      <c r="G1" t="s">
        <v>573</v>
      </c>
      <c r="J1" t="s">
        <v>577</v>
      </c>
      <c r="L1" t="s">
        <v>590</v>
      </c>
      <c r="N1" t="s">
        <v>666</v>
      </c>
      <c r="P1" t="s">
        <v>654</v>
      </c>
      <c r="R1" t="s">
        <v>667</v>
      </c>
    </row>
    <row r="3" spans="1:18">
      <c r="A3" t="s">
        <v>461</v>
      </c>
      <c r="B3" s="55" t="s">
        <v>320</v>
      </c>
      <c r="C3" s="61" t="s">
        <v>461</v>
      </c>
      <c r="D3" s="55" t="s">
        <v>320</v>
      </c>
      <c r="E3" s="72"/>
      <c r="F3" s="61" t="s">
        <v>461</v>
      </c>
      <c r="G3" s="55" t="s">
        <v>323</v>
      </c>
      <c r="I3" s="80" t="s">
        <v>461</v>
      </c>
      <c r="J3" s="55" t="s">
        <v>357</v>
      </c>
      <c r="L3" s="55" t="s">
        <v>320</v>
      </c>
      <c r="N3" s="60" t="s">
        <v>357</v>
      </c>
      <c r="O3" t="s">
        <v>461</v>
      </c>
      <c r="P3" t="s">
        <v>658</v>
      </c>
      <c r="R3" s="60" t="s">
        <v>385</v>
      </c>
    </row>
    <row r="4" spans="1:18">
      <c r="A4" t="s">
        <v>462</v>
      </c>
      <c r="B4" s="55" t="s">
        <v>323</v>
      </c>
      <c r="C4" s="61" t="s">
        <v>462</v>
      </c>
      <c r="D4" s="55" t="s">
        <v>323</v>
      </c>
      <c r="E4" s="72"/>
      <c r="F4" s="61" t="s">
        <v>462</v>
      </c>
      <c r="G4" s="55" t="s">
        <v>320</v>
      </c>
      <c r="I4" s="80" t="s">
        <v>462</v>
      </c>
      <c r="J4" s="55" t="s">
        <v>323</v>
      </c>
      <c r="L4" s="55" t="s">
        <v>357</v>
      </c>
      <c r="N4" s="60" t="s">
        <v>320</v>
      </c>
      <c r="O4" t="s">
        <v>462</v>
      </c>
      <c r="P4" t="s">
        <v>658</v>
      </c>
      <c r="R4" s="60" t="s">
        <v>320</v>
      </c>
    </row>
    <row r="5" spans="1:18">
      <c r="A5" t="s">
        <v>463</v>
      </c>
      <c r="B5" s="55" t="s">
        <v>322</v>
      </c>
      <c r="C5" s="61" t="s">
        <v>463</v>
      </c>
      <c r="D5" s="55" t="s">
        <v>322</v>
      </c>
      <c r="E5" s="72"/>
      <c r="F5" s="61" t="s">
        <v>463</v>
      </c>
      <c r="G5" s="55" t="s">
        <v>322</v>
      </c>
      <c r="I5" s="80" t="s">
        <v>463</v>
      </c>
      <c r="J5" s="55" t="s">
        <v>320</v>
      </c>
      <c r="L5" s="55" t="s">
        <v>323</v>
      </c>
      <c r="N5" s="60" t="s">
        <v>323</v>
      </c>
      <c r="O5" t="s">
        <v>463</v>
      </c>
      <c r="P5" t="s">
        <v>658</v>
      </c>
      <c r="R5" s="60" t="s">
        <v>357</v>
      </c>
    </row>
    <row r="6" spans="1:18">
      <c r="A6" t="s">
        <v>464</v>
      </c>
      <c r="B6" s="55" t="s">
        <v>357</v>
      </c>
      <c r="C6" s="61" t="s">
        <v>464</v>
      </c>
      <c r="D6" s="55" t="s">
        <v>357</v>
      </c>
      <c r="E6" s="72"/>
      <c r="F6" s="61" t="s">
        <v>464</v>
      </c>
      <c r="G6" s="55" t="s">
        <v>357</v>
      </c>
      <c r="I6" s="81" t="s">
        <v>464</v>
      </c>
      <c r="J6" s="55" t="s">
        <v>385</v>
      </c>
      <c r="L6" s="55" t="s">
        <v>442</v>
      </c>
      <c r="N6" s="60" t="s">
        <v>321</v>
      </c>
      <c r="O6" t="s">
        <v>464</v>
      </c>
      <c r="P6" t="s">
        <v>658</v>
      </c>
      <c r="R6" s="60" t="s">
        <v>323</v>
      </c>
    </row>
    <row r="7" spans="1:18">
      <c r="A7" t="s">
        <v>465</v>
      </c>
      <c r="B7" s="55" t="s">
        <v>321</v>
      </c>
      <c r="C7" s="61" t="s">
        <v>465</v>
      </c>
      <c r="D7" s="55" t="s">
        <v>411</v>
      </c>
      <c r="E7" s="72"/>
      <c r="F7" s="61" t="s">
        <v>465</v>
      </c>
      <c r="G7" s="55" t="s">
        <v>442</v>
      </c>
      <c r="I7" s="81" t="s">
        <v>465</v>
      </c>
      <c r="J7" s="55" t="s">
        <v>390</v>
      </c>
      <c r="L7" s="55" t="s">
        <v>321</v>
      </c>
      <c r="N7" s="60" t="s">
        <v>322</v>
      </c>
      <c r="O7" t="s">
        <v>465</v>
      </c>
      <c r="P7" t="s">
        <v>658</v>
      </c>
      <c r="R7" s="60" t="s">
        <v>321</v>
      </c>
    </row>
    <row r="8" spans="1:18">
      <c r="A8" t="s">
        <v>466</v>
      </c>
      <c r="B8" s="55" t="s">
        <v>390</v>
      </c>
      <c r="C8" s="61" t="s">
        <v>466</v>
      </c>
      <c r="D8" s="55" t="s">
        <v>566</v>
      </c>
      <c r="E8" s="72" t="s">
        <v>509</v>
      </c>
      <c r="F8" s="61" t="s">
        <v>466</v>
      </c>
      <c r="G8" s="55" t="s">
        <v>385</v>
      </c>
      <c r="I8" s="80" t="s">
        <v>466</v>
      </c>
      <c r="J8" s="55" t="s">
        <v>442</v>
      </c>
      <c r="L8" s="55" t="s">
        <v>326</v>
      </c>
      <c r="N8" s="60" t="s">
        <v>442</v>
      </c>
      <c r="O8" t="s">
        <v>466</v>
      </c>
      <c r="P8" t="s">
        <v>658</v>
      </c>
      <c r="R8" s="60" t="s">
        <v>442</v>
      </c>
    </row>
    <row r="9" spans="1:18">
      <c r="A9" t="s">
        <v>467</v>
      </c>
      <c r="B9" s="60" t="s">
        <v>418</v>
      </c>
      <c r="C9" s="61" t="s">
        <v>467</v>
      </c>
      <c r="D9" s="60" t="s">
        <v>565</v>
      </c>
      <c r="E9" s="72" t="s">
        <v>509</v>
      </c>
      <c r="F9" s="61" t="s">
        <v>467</v>
      </c>
      <c r="G9" s="60" t="s">
        <v>413</v>
      </c>
      <c r="I9" s="80" t="s">
        <v>467</v>
      </c>
      <c r="J9" s="60" t="s">
        <v>322</v>
      </c>
      <c r="L9" s="60" t="s">
        <v>413</v>
      </c>
      <c r="N9" s="60" t="s">
        <v>384</v>
      </c>
      <c r="O9" t="s">
        <v>598</v>
      </c>
      <c r="P9" t="s">
        <v>657</v>
      </c>
      <c r="R9" s="60" t="s">
        <v>413</v>
      </c>
    </row>
    <row r="10" spans="1:18">
      <c r="A10" t="s">
        <v>468</v>
      </c>
      <c r="B10" s="60" t="s">
        <v>385</v>
      </c>
      <c r="C10" s="61" t="s">
        <v>468</v>
      </c>
      <c r="D10" s="60" t="s">
        <v>321</v>
      </c>
      <c r="E10" s="72"/>
      <c r="F10" s="61" t="s">
        <v>468</v>
      </c>
      <c r="G10" s="60" t="s">
        <v>390</v>
      </c>
      <c r="I10" s="80" t="s">
        <v>468</v>
      </c>
      <c r="J10" s="60" t="s">
        <v>321</v>
      </c>
      <c r="L10" s="60" t="s">
        <v>410</v>
      </c>
      <c r="N10" s="60" t="s">
        <v>385</v>
      </c>
      <c r="O10" t="s">
        <v>599</v>
      </c>
      <c r="P10" t="s">
        <v>665</v>
      </c>
      <c r="R10" s="60" t="s">
        <v>410</v>
      </c>
    </row>
    <row r="11" spans="1:18">
      <c r="A11" t="s">
        <v>469</v>
      </c>
      <c r="B11" s="60" t="s">
        <v>384</v>
      </c>
      <c r="C11" s="61" t="s">
        <v>469</v>
      </c>
      <c r="D11" s="60" t="s">
        <v>442</v>
      </c>
      <c r="E11" s="72"/>
      <c r="F11" s="61" t="s">
        <v>469</v>
      </c>
      <c r="G11" s="60" t="s">
        <v>384</v>
      </c>
      <c r="I11" s="80" t="s">
        <v>469</v>
      </c>
      <c r="J11" s="54" t="s">
        <v>355</v>
      </c>
      <c r="L11" s="54" t="s">
        <v>384</v>
      </c>
      <c r="N11" s="86" t="s">
        <v>326</v>
      </c>
      <c r="O11" t="s">
        <v>600</v>
      </c>
      <c r="P11" t="s">
        <v>655</v>
      </c>
      <c r="R11" s="86" t="s">
        <v>322</v>
      </c>
    </row>
    <row r="12" spans="1:18">
      <c r="A12" t="s">
        <v>470</v>
      </c>
      <c r="B12" s="60" t="s">
        <v>411</v>
      </c>
      <c r="C12" s="61" t="s">
        <v>470</v>
      </c>
      <c r="D12" s="60" t="s">
        <v>384</v>
      </c>
      <c r="E12" s="72"/>
      <c r="F12" s="61" t="s">
        <v>470</v>
      </c>
      <c r="G12" s="60" t="s">
        <v>321</v>
      </c>
      <c r="I12" s="80" t="s">
        <v>470</v>
      </c>
      <c r="J12" s="60" t="s">
        <v>413</v>
      </c>
      <c r="L12" s="60" t="s">
        <v>381</v>
      </c>
      <c r="N12" s="86" t="s">
        <v>413</v>
      </c>
      <c r="O12" t="s">
        <v>601</v>
      </c>
      <c r="P12" t="s">
        <v>655</v>
      </c>
      <c r="R12" s="86" t="s">
        <v>384</v>
      </c>
    </row>
    <row r="13" spans="1:18">
      <c r="A13" t="s">
        <v>471</v>
      </c>
      <c r="B13" s="54" t="s">
        <v>458</v>
      </c>
      <c r="C13" s="61" t="s">
        <v>471</v>
      </c>
      <c r="D13" s="54" t="s">
        <v>458</v>
      </c>
      <c r="E13" s="72"/>
      <c r="F13" s="61" t="s">
        <v>471</v>
      </c>
      <c r="G13" s="54" t="s">
        <v>355</v>
      </c>
      <c r="I13" s="80" t="s">
        <v>471</v>
      </c>
      <c r="J13" s="54" t="s">
        <v>410</v>
      </c>
      <c r="L13" s="54" t="s">
        <v>322</v>
      </c>
      <c r="N13" s="87" t="s">
        <v>381</v>
      </c>
      <c r="O13" t="s">
        <v>602</v>
      </c>
      <c r="P13" t="s">
        <v>657</v>
      </c>
      <c r="R13" s="87" t="s">
        <v>331</v>
      </c>
    </row>
    <row r="14" spans="1:18">
      <c r="A14" t="s">
        <v>472</v>
      </c>
      <c r="B14" s="54" t="s">
        <v>328</v>
      </c>
      <c r="C14" s="61" t="s">
        <v>472</v>
      </c>
      <c r="D14" s="54" t="s">
        <v>410</v>
      </c>
      <c r="E14" s="72"/>
      <c r="F14" s="61" t="s">
        <v>472</v>
      </c>
      <c r="G14" s="54" t="s">
        <v>331</v>
      </c>
      <c r="I14" s="80" t="s">
        <v>472</v>
      </c>
      <c r="J14" s="54" t="s">
        <v>326</v>
      </c>
      <c r="L14" s="54" t="s">
        <v>355</v>
      </c>
      <c r="N14" s="86" t="s">
        <v>379</v>
      </c>
      <c r="O14" t="s">
        <v>603</v>
      </c>
      <c r="P14" t="s">
        <v>655</v>
      </c>
      <c r="R14" s="86" t="s">
        <v>381</v>
      </c>
    </row>
    <row r="15" spans="1:18">
      <c r="A15" t="s">
        <v>473</v>
      </c>
      <c r="B15" s="56" t="s">
        <v>355</v>
      </c>
      <c r="C15" s="61" t="s">
        <v>473</v>
      </c>
      <c r="D15" s="56" t="s">
        <v>355</v>
      </c>
      <c r="E15" s="72"/>
      <c r="F15" s="61" t="s">
        <v>473</v>
      </c>
      <c r="G15" s="56" t="s">
        <v>410</v>
      </c>
      <c r="I15" s="80" t="s">
        <v>473</v>
      </c>
      <c r="J15" s="56" t="s">
        <v>384</v>
      </c>
      <c r="L15" s="56" t="s">
        <v>400</v>
      </c>
      <c r="N15" s="87" t="s">
        <v>355</v>
      </c>
      <c r="O15" t="s">
        <v>604</v>
      </c>
      <c r="P15" t="s">
        <v>658</v>
      </c>
      <c r="R15" s="87" t="s">
        <v>326</v>
      </c>
    </row>
    <row r="16" spans="1:18">
      <c r="A16" t="s">
        <v>474</v>
      </c>
      <c r="B16" s="56" t="s">
        <v>459</v>
      </c>
      <c r="C16" s="61" t="s">
        <v>474</v>
      </c>
      <c r="D16" s="56" t="s">
        <v>328</v>
      </c>
      <c r="E16" s="72"/>
      <c r="F16" s="61" t="s">
        <v>474</v>
      </c>
      <c r="G16" s="56" t="s">
        <v>379</v>
      </c>
      <c r="I16" s="81" t="s">
        <v>474</v>
      </c>
      <c r="J16" s="56" t="s">
        <v>331</v>
      </c>
      <c r="L16" s="56" t="s">
        <v>329</v>
      </c>
      <c r="N16" s="87" t="s">
        <v>410</v>
      </c>
      <c r="O16" t="s">
        <v>605</v>
      </c>
      <c r="P16" t="s">
        <v>658</v>
      </c>
      <c r="R16" s="87" t="s">
        <v>585</v>
      </c>
    </row>
    <row r="17" spans="1:18">
      <c r="A17" t="s">
        <v>475</v>
      </c>
      <c r="B17" s="56" t="s">
        <v>410</v>
      </c>
      <c r="C17" s="61" t="s">
        <v>475</v>
      </c>
      <c r="D17" s="56" t="s">
        <v>326</v>
      </c>
      <c r="E17" s="72"/>
      <c r="F17" s="61" t="s">
        <v>475</v>
      </c>
      <c r="G17" s="56" t="s">
        <v>326</v>
      </c>
      <c r="I17" s="80" t="s">
        <v>475</v>
      </c>
      <c r="J17" s="56" t="s">
        <v>381</v>
      </c>
      <c r="L17" s="56" t="s">
        <v>406</v>
      </c>
      <c r="N17" s="87" t="s">
        <v>400</v>
      </c>
      <c r="O17" t="s">
        <v>606</v>
      </c>
      <c r="P17" t="s">
        <v>655</v>
      </c>
      <c r="R17" s="87" t="s">
        <v>329</v>
      </c>
    </row>
    <row r="18" spans="1:18">
      <c r="A18" t="s">
        <v>476</v>
      </c>
      <c r="B18" s="56" t="s">
        <v>400</v>
      </c>
      <c r="C18" s="61" t="s">
        <v>476</v>
      </c>
      <c r="D18" s="56" t="s">
        <v>405</v>
      </c>
      <c r="E18" s="72"/>
      <c r="F18" s="61" t="s">
        <v>476</v>
      </c>
      <c r="G18" s="56" t="s">
        <v>381</v>
      </c>
      <c r="I18" s="61" t="s">
        <v>476</v>
      </c>
      <c r="J18" s="56" t="s">
        <v>406</v>
      </c>
      <c r="L18" s="56" t="s">
        <v>371</v>
      </c>
      <c r="N18" s="87" t="s">
        <v>331</v>
      </c>
      <c r="O18" t="s">
        <v>607</v>
      </c>
      <c r="P18" t="s">
        <v>657</v>
      </c>
      <c r="R18" s="87" t="s">
        <v>400</v>
      </c>
    </row>
    <row r="19" spans="1:18">
      <c r="A19" t="s">
        <v>477</v>
      </c>
      <c r="B19" s="56" t="s">
        <v>405</v>
      </c>
      <c r="C19" s="61" t="s">
        <v>477</v>
      </c>
      <c r="D19" s="56" t="s">
        <v>459</v>
      </c>
      <c r="E19" s="72"/>
      <c r="F19" s="61" t="s">
        <v>477</v>
      </c>
      <c r="G19" s="56" t="s">
        <v>406</v>
      </c>
      <c r="I19" s="80" t="s">
        <v>477</v>
      </c>
      <c r="J19" s="56" t="s">
        <v>400</v>
      </c>
      <c r="L19" s="56" t="s">
        <v>379</v>
      </c>
      <c r="N19" s="85" t="s">
        <v>329</v>
      </c>
      <c r="O19" t="s">
        <v>608</v>
      </c>
      <c r="P19" t="s">
        <v>661</v>
      </c>
      <c r="R19" s="85" t="s">
        <v>371</v>
      </c>
    </row>
    <row r="20" spans="1:18">
      <c r="A20" t="s">
        <v>478</v>
      </c>
      <c r="B20" s="56" t="s">
        <v>326</v>
      </c>
      <c r="C20" s="61" t="s">
        <v>478</v>
      </c>
      <c r="D20" s="56" t="s">
        <v>381</v>
      </c>
      <c r="E20" s="72"/>
      <c r="F20" s="61" t="s">
        <v>478</v>
      </c>
      <c r="G20" s="56" t="s">
        <v>405</v>
      </c>
      <c r="I20" s="80" t="s">
        <v>478</v>
      </c>
      <c r="J20" s="56" t="s">
        <v>329</v>
      </c>
      <c r="L20" s="56" t="s">
        <v>397</v>
      </c>
      <c r="N20" s="85" t="s">
        <v>397</v>
      </c>
      <c r="O20" t="s">
        <v>609</v>
      </c>
      <c r="P20" t="s">
        <v>657</v>
      </c>
      <c r="R20" s="85" t="s">
        <v>373</v>
      </c>
    </row>
    <row r="21" spans="1:18">
      <c r="A21" t="s">
        <v>479</v>
      </c>
      <c r="B21" s="57" t="s">
        <v>381</v>
      </c>
      <c r="C21" s="61" t="s">
        <v>479</v>
      </c>
      <c r="D21" s="57" t="s">
        <v>460</v>
      </c>
      <c r="E21" s="72"/>
      <c r="F21" s="61" t="s">
        <v>479</v>
      </c>
      <c r="G21" s="57" t="s">
        <v>329</v>
      </c>
      <c r="I21" s="80" t="s">
        <v>479</v>
      </c>
      <c r="J21" s="57" t="s">
        <v>379</v>
      </c>
      <c r="L21" s="57" t="s">
        <v>550</v>
      </c>
      <c r="N21" s="85" t="s">
        <v>371</v>
      </c>
      <c r="O21" t="s">
        <v>610</v>
      </c>
      <c r="P21" t="s">
        <v>657</v>
      </c>
      <c r="R21" s="85" t="s">
        <v>394</v>
      </c>
    </row>
    <row r="22" spans="1:18">
      <c r="A22" t="s">
        <v>480</v>
      </c>
      <c r="B22" s="57" t="s">
        <v>460</v>
      </c>
      <c r="C22" s="61" t="s">
        <v>480</v>
      </c>
      <c r="D22" s="57" t="s">
        <v>400</v>
      </c>
      <c r="E22" s="72"/>
      <c r="F22" s="61" t="s">
        <v>480</v>
      </c>
      <c r="G22" s="57" t="s">
        <v>400</v>
      </c>
      <c r="I22" s="80" t="s">
        <v>480</v>
      </c>
      <c r="J22" s="57" t="s">
        <v>397</v>
      </c>
      <c r="L22" s="57" t="s">
        <v>394</v>
      </c>
      <c r="N22" s="85" t="s">
        <v>585</v>
      </c>
      <c r="O22" t="s">
        <v>611</v>
      </c>
      <c r="P22" t="s">
        <v>659</v>
      </c>
      <c r="R22" s="85" t="s">
        <v>550</v>
      </c>
    </row>
    <row r="23" spans="1:18">
      <c r="A23" t="s">
        <v>481</v>
      </c>
      <c r="B23" s="57" t="s">
        <v>376</v>
      </c>
      <c r="C23" s="61" t="s">
        <v>481</v>
      </c>
      <c r="D23" s="57" t="s">
        <v>376</v>
      </c>
      <c r="E23" s="72"/>
      <c r="F23" s="61" t="s">
        <v>481</v>
      </c>
      <c r="G23" s="57" t="s">
        <v>421</v>
      </c>
      <c r="I23" s="61" t="s">
        <v>481</v>
      </c>
      <c r="J23" s="57" t="s">
        <v>408</v>
      </c>
      <c r="L23" s="57" t="s">
        <v>585</v>
      </c>
      <c r="N23" s="85" t="s">
        <v>394</v>
      </c>
      <c r="O23" t="s">
        <v>612</v>
      </c>
      <c r="R23" s="85" t="s">
        <v>360</v>
      </c>
    </row>
    <row r="24" spans="1:18">
      <c r="A24" t="s">
        <v>482</v>
      </c>
      <c r="B24" s="57" t="s">
        <v>397</v>
      </c>
      <c r="C24" s="61" t="s">
        <v>482</v>
      </c>
      <c r="D24" s="57" t="s">
        <v>397</v>
      </c>
      <c r="E24" s="72"/>
      <c r="F24" s="61" t="s">
        <v>482</v>
      </c>
      <c r="G24" s="57" t="s">
        <v>397</v>
      </c>
      <c r="I24" s="80" t="s">
        <v>482</v>
      </c>
      <c r="J24" s="57" t="s">
        <v>371</v>
      </c>
      <c r="L24" s="57" t="s">
        <v>367</v>
      </c>
      <c r="N24" s="85" t="s">
        <v>549</v>
      </c>
      <c r="O24" t="s">
        <v>613</v>
      </c>
      <c r="R24" s="85" t="s">
        <v>377</v>
      </c>
    </row>
    <row r="25" spans="1:18">
      <c r="A25" t="s">
        <v>483</v>
      </c>
      <c r="B25" s="57" t="s">
        <v>329</v>
      </c>
      <c r="C25" s="61" t="s">
        <v>483</v>
      </c>
      <c r="D25" s="57" t="s">
        <v>421</v>
      </c>
      <c r="E25" s="72"/>
      <c r="F25" s="61" t="s">
        <v>483</v>
      </c>
      <c r="G25" s="57" t="s">
        <v>373</v>
      </c>
      <c r="I25" s="61" t="s">
        <v>483</v>
      </c>
      <c r="J25" s="57" t="s">
        <v>421</v>
      </c>
      <c r="L25" s="57" t="s">
        <v>549</v>
      </c>
      <c r="N25" s="85" t="s">
        <v>360</v>
      </c>
      <c r="O25" t="s">
        <v>614</v>
      </c>
      <c r="P25" t="s">
        <v>658</v>
      </c>
      <c r="R25" s="85" t="s">
        <v>668</v>
      </c>
    </row>
    <row r="26" spans="1:18">
      <c r="A26" t="s">
        <v>484</v>
      </c>
      <c r="B26" s="57" t="s">
        <v>505</v>
      </c>
      <c r="C26" s="61" t="s">
        <v>484</v>
      </c>
      <c r="D26" s="57" t="s">
        <v>329</v>
      </c>
      <c r="E26" s="72" t="s">
        <v>509</v>
      </c>
      <c r="F26" s="61" t="s">
        <v>484</v>
      </c>
      <c r="G26" s="57" t="s">
        <v>408</v>
      </c>
      <c r="I26" s="80" t="s">
        <v>484</v>
      </c>
      <c r="J26" s="57" t="s">
        <v>550</v>
      </c>
      <c r="L26" s="57" t="s">
        <v>360</v>
      </c>
      <c r="N26" s="85" t="s">
        <v>373</v>
      </c>
      <c r="O26" t="s">
        <v>615</v>
      </c>
      <c r="P26" t="s">
        <v>655</v>
      </c>
      <c r="R26" s="85" t="s">
        <v>676</v>
      </c>
    </row>
    <row r="27" spans="1:18">
      <c r="A27" t="s">
        <v>485</v>
      </c>
      <c r="B27" s="54" t="s">
        <v>330</v>
      </c>
      <c r="C27" s="61" t="s">
        <v>485</v>
      </c>
      <c r="D27" s="54" t="s">
        <v>408</v>
      </c>
      <c r="E27" s="72" t="s">
        <v>509</v>
      </c>
      <c r="F27" s="61" t="s">
        <v>485</v>
      </c>
      <c r="G27" s="54" t="s">
        <v>371</v>
      </c>
      <c r="I27" s="80" t="s">
        <v>485</v>
      </c>
      <c r="J27" s="54" t="s">
        <v>394</v>
      </c>
      <c r="L27" s="54" t="s">
        <v>407</v>
      </c>
      <c r="N27" s="84" t="s">
        <v>421</v>
      </c>
      <c r="O27" t="s">
        <v>616</v>
      </c>
      <c r="P27" t="s">
        <v>658</v>
      </c>
      <c r="R27" s="84" t="s">
        <v>677</v>
      </c>
    </row>
    <row r="28" spans="1:18">
      <c r="A28" t="s">
        <v>486</v>
      </c>
      <c r="B28" s="54" t="s">
        <v>394</v>
      </c>
      <c r="C28" s="61" t="s">
        <v>486</v>
      </c>
      <c r="D28" s="54" t="s">
        <v>373</v>
      </c>
      <c r="E28" s="72"/>
      <c r="F28" s="61" t="s">
        <v>486</v>
      </c>
      <c r="G28" s="54" t="s">
        <v>550</v>
      </c>
      <c r="I28" s="61" t="s">
        <v>486</v>
      </c>
      <c r="J28" s="54" t="s">
        <v>360</v>
      </c>
      <c r="L28" s="54" t="s">
        <v>377</v>
      </c>
      <c r="N28" s="84" t="s">
        <v>367</v>
      </c>
      <c r="O28" t="s">
        <v>617</v>
      </c>
      <c r="P28" t="s">
        <v>655</v>
      </c>
      <c r="R28" s="84" t="s">
        <v>407</v>
      </c>
    </row>
    <row r="29" spans="1:18">
      <c r="A29" t="s">
        <v>487</v>
      </c>
      <c r="B29" s="54" t="s">
        <v>327</v>
      </c>
      <c r="C29" s="61" t="s">
        <v>487</v>
      </c>
      <c r="D29" s="54" t="s">
        <v>394</v>
      </c>
      <c r="E29" s="72"/>
      <c r="F29" s="61" t="s">
        <v>487</v>
      </c>
      <c r="G29" s="54" t="s">
        <v>394</v>
      </c>
      <c r="I29" s="80" t="s">
        <v>487</v>
      </c>
      <c r="J29" s="54" t="s">
        <v>407</v>
      </c>
      <c r="L29" s="54" t="s">
        <v>364</v>
      </c>
      <c r="N29" s="84" t="s">
        <v>377</v>
      </c>
      <c r="O29" t="s">
        <v>618</v>
      </c>
      <c r="P29" t="s">
        <v>658</v>
      </c>
      <c r="R29" s="84" t="s">
        <v>370</v>
      </c>
    </row>
    <row r="30" spans="1:18">
      <c r="A30" t="s">
        <v>488</v>
      </c>
      <c r="B30" s="54" t="s">
        <v>373</v>
      </c>
      <c r="C30" s="61" t="s">
        <v>488</v>
      </c>
      <c r="D30" s="54" t="s">
        <v>371</v>
      </c>
      <c r="E30" s="72"/>
      <c r="F30" s="61" t="s">
        <v>488</v>
      </c>
      <c r="G30" s="54" t="s">
        <v>360</v>
      </c>
      <c r="I30" s="80" t="s">
        <v>488</v>
      </c>
      <c r="J30" s="54" t="s">
        <v>367</v>
      </c>
      <c r="L30" s="54" t="s">
        <v>575</v>
      </c>
      <c r="N30" s="84" t="s">
        <v>407</v>
      </c>
      <c r="O30" t="s">
        <v>619</v>
      </c>
      <c r="P30" t="s">
        <v>656</v>
      </c>
      <c r="R30" s="84" t="s">
        <v>642</v>
      </c>
    </row>
    <row r="31" spans="1:18">
      <c r="A31" t="s">
        <v>489</v>
      </c>
      <c r="B31" s="54" t="s">
        <v>408</v>
      </c>
      <c r="C31" s="61" t="s">
        <v>489</v>
      </c>
      <c r="D31" s="54" t="s">
        <v>330</v>
      </c>
      <c r="E31" s="72"/>
      <c r="F31" s="61" t="s">
        <v>489</v>
      </c>
      <c r="G31" s="54" t="s">
        <v>407</v>
      </c>
      <c r="I31" s="81" t="s">
        <v>489</v>
      </c>
      <c r="J31" s="54" t="s">
        <v>582</v>
      </c>
      <c r="L31" s="54" t="s">
        <v>591</v>
      </c>
      <c r="N31" s="84" t="s">
        <v>364</v>
      </c>
      <c r="O31" t="s">
        <v>620</v>
      </c>
      <c r="P31" t="s">
        <v>657</v>
      </c>
      <c r="R31" s="84" t="s">
        <v>641</v>
      </c>
    </row>
    <row r="32" spans="1:18">
      <c r="A32" t="s">
        <v>490</v>
      </c>
      <c r="B32" s="54" t="s">
        <v>421</v>
      </c>
      <c r="C32" s="61" t="s">
        <v>490</v>
      </c>
      <c r="D32" s="54" t="s">
        <v>370</v>
      </c>
      <c r="E32" s="72"/>
      <c r="F32" s="61" t="s">
        <v>490</v>
      </c>
      <c r="G32" s="54" t="s">
        <v>364</v>
      </c>
      <c r="I32" s="80" t="s">
        <v>490</v>
      </c>
      <c r="J32" s="54" t="s">
        <v>585</v>
      </c>
      <c r="L32" s="54" t="s">
        <v>586</v>
      </c>
      <c r="N32" s="84" t="s">
        <v>586</v>
      </c>
      <c r="O32" t="s">
        <v>621</v>
      </c>
      <c r="P32" t="s">
        <v>660</v>
      </c>
      <c r="R32" s="84" t="s">
        <v>575</v>
      </c>
    </row>
    <row r="33" spans="1:18">
      <c r="A33" t="s">
        <v>491</v>
      </c>
      <c r="B33" s="58" t="s">
        <v>445</v>
      </c>
      <c r="C33" s="61" t="s">
        <v>491</v>
      </c>
      <c r="D33" s="58" t="s">
        <v>360</v>
      </c>
      <c r="E33" s="72"/>
      <c r="F33" s="61" t="s">
        <v>491</v>
      </c>
      <c r="G33" s="74" t="s">
        <v>377</v>
      </c>
      <c r="I33" s="80" t="s">
        <v>491</v>
      </c>
      <c r="J33" s="74" t="s">
        <v>364</v>
      </c>
      <c r="L33" s="74"/>
      <c r="N33" s="84" t="s">
        <v>370</v>
      </c>
      <c r="O33" t="s">
        <v>622</v>
      </c>
      <c r="P33" t="s">
        <v>658</v>
      </c>
      <c r="R33" s="84" t="s">
        <v>364</v>
      </c>
    </row>
    <row r="34" spans="1:18">
      <c r="A34" t="s">
        <v>492</v>
      </c>
      <c r="B34" s="58" t="s">
        <v>371</v>
      </c>
      <c r="C34" s="61" t="s">
        <v>492</v>
      </c>
      <c r="D34" s="58" t="s">
        <v>364</v>
      </c>
      <c r="E34" s="72"/>
      <c r="F34" s="61" t="s">
        <v>492</v>
      </c>
      <c r="G34" s="74" t="s">
        <v>367</v>
      </c>
      <c r="I34" s="80" t="s">
        <v>492</v>
      </c>
      <c r="J34" s="74" t="s">
        <v>549</v>
      </c>
      <c r="L34" s="74"/>
      <c r="N34" s="84" t="s">
        <v>642</v>
      </c>
      <c r="O34" t="s">
        <v>623</v>
      </c>
      <c r="P34" t="s">
        <v>657</v>
      </c>
      <c r="R34" s="84" t="s">
        <v>586</v>
      </c>
    </row>
    <row r="35" spans="1:18">
      <c r="A35" t="s">
        <v>493</v>
      </c>
      <c r="B35" s="58" t="s">
        <v>370</v>
      </c>
      <c r="C35" s="61" t="s">
        <v>493</v>
      </c>
      <c r="D35" s="58" t="s">
        <v>407</v>
      </c>
      <c r="E35" s="72"/>
      <c r="F35" s="61" t="s">
        <v>493</v>
      </c>
      <c r="G35" s="74" t="s">
        <v>549</v>
      </c>
      <c r="I35" s="80" t="s">
        <v>493</v>
      </c>
      <c r="J35" s="74" t="s">
        <v>377</v>
      </c>
      <c r="L35" s="74"/>
      <c r="N35" s="58" t="s">
        <v>575</v>
      </c>
      <c r="O35" t="s">
        <v>633</v>
      </c>
      <c r="P35" t="s">
        <v>655</v>
      </c>
      <c r="R35" s="58" t="s">
        <v>630</v>
      </c>
    </row>
    <row r="36" spans="1:18">
      <c r="A36" t="s">
        <v>494</v>
      </c>
      <c r="B36" s="58" t="s">
        <v>360</v>
      </c>
      <c r="C36" s="61" t="s">
        <v>494</v>
      </c>
      <c r="D36" s="58" t="s">
        <v>444</v>
      </c>
      <c r="E36" s="72"/>
      <c r="F36" s="61" t="s">
        <v>494</v>
      </c>
      <c r="G36" s="74" t="s">
        <v>564</v>
      </c>
      <c r="I36" s="80" t="s">
        <v>494</v>
      </c>
      <c r="J36" s="74" t="s">
        <v>427</v>
      </c>
      <c r="L36" s="74"/>
      <c r="N36" s="58" t="s">
        <v>593</v>
      </c>
      <c r="O36" t="s">
        <v>634</v>
      </c>
      <c r="P36" t="s">
        <v>657</v>
      </c>
      <c r="R36" s="58" t="s">
        <v>624</v>
      </c>
    </row>
    <row r="37" spans="1:18">
      <c r="A37" t="s">
        <v>495</v>
      </c>
      <c r="B37" s="58" t="s">
        <v>372</v>
      </c>
      <c r="C37" s="61" t="s">
        <v>495</v>
      </c>
      <c r="D37" s="58" t="s">
        <v>377</v>
      </c>
      <c r="E37" s="72"/>
      <c r="F37" s="61" t="s">
        <v>495</v>
      </c>
      <c r="G37" s="74" t="s">
        <v>427</v>
      </c>
      <c r="I37" s="80" t="s">
        <v>495</v>
      </c>
      <c r="J37" s="74" t="s">
        <v>575</v>
      </c>
      <c r="L37" s="74"/>
      <c r="N37" s="58" t="s">
        <v>628</v>
      </c>
      <c r="O37" t="s">
        <v>635</v>
      </c>
      <c r="P37" t="s">
        <v>664</v>
      </c>
      <c r="R37" s="58" t="s">
        <v>629</v>
      </c>
    </row>
    <row r="38" spans="1:18">
      <c r="A38" t="s">
        <v>501</v>
      </c>
      <c r="B38" s="58" t="s">
        <v>364</v>
      </c>
      <c r="C38" s="61" t="s">
        <v>501</v>
      </c>
      <c r="D38" s="58"/>
      <c r="E38" s="72"/>
      <c r="F38" s="61" t="s">
        <v>501</v>
      </c>
      <c r="G38" s="74" t="s">
        <v>506</v>
      </c>
      <c r="I38" s="80" t="s">
        <v>501</v>
      </c>
      <c r="J38" s="74" t="s">
        <v>589</v>
      </c>
      <c r="L38" s="74"/>
      <c r="N38" s="58" t="s">
        <v>626</v>
      </c>
      <c r="O38" t="s">
        <v>636</v>
      </c>
      <c r="P38" t="s">
        <v>658</v>
      </c>
      <c r="R38" s="58" t="s">
        <v>593</v>
      </c>
    </row>
    <row r="39" spans="1:18">
      <c r="A39" t="s">
        <v>496</v>
      </c>
      <c r="B39" s="59" t="s">
        <v>407</v>
      </c>
      <c r="C39" s="61" t="s">
        <v>496</v>
      </c>
      <c r="D39" s="59" t="s">
        <v>367</v>
      </c>
      <c r="E39" s="72"/>
      <c r="F39" s="61"/>
      <c r="I39" s="61"/>
      <c r="N39" s="58" t="s">
        <v>624</v>
      </c>
      <c r="O39" t="s">
        <v>637</v>
      </c>
      <c r="P39" t="s">
        <v>655</v>
      </c>
      <c r="R39" s="58" t="s">
        <v>628</v>
      </c>
    </row>
    <row r="40" spans="1:18">
      <c r="A40" t="s">
        <v>497</v>
      </c>
      <c r="B40" s="59" t="s">
        <v>395</v>
      </c>
      <c r="C40" s="61" t="s">
        <v>497</v>
      </c>
      <c r="D40" s="59" t="s">
        <v>427</v>
      </c>
      <c r="E40" s="72"/>
      <c r="F40" s="61"/>
      <c r="I40" s="61"/>
      <c r="N40" s="58" t="s">
        <v>629</v>
      </c>
      <c r="O40" t="s">
        <v>638</v>
      </c>
      <c r="P40" t="s">
        <v>658</v>
      </c>
      <c r="R40" s="58" t="s">
        <v>626</v>
      </c>
    </row>
    <row r="41" spans="1:18">
      <c r="A41" t="s">
        <v>498</v>
      </c>
      <c r="B41" s="59" t="s">
        <v>444</v>
      </c>
      <c r="C41" s="61" t="s">
        <v>498</v>
      </c>
      <c r="D41" s="59" t="s">
        <v>506</v>
      </c>
      <c r="E41" s="72"/>
      <c r="F41" s="61"/>
      <c r="I41" s="61"/>
      <c r="N41" s="58" t="s">
        <v>630</v>
      </c>
      <c r="O41" t="s">
        <v>639</v>
      </c>
      <c r="P41" t="s">
        <v>655</v>
      </c>
      <c r="R41" s="58" t="s">
        <v>669</v>
      </c>
    </row>
    <row r="42" spans="1:18">
      <c r="A42" t="s">
        <v>499</v>
      </c>
      <c r="B42" s="59" t="s">
        <v>377</v>
      </c>
      <c r="C42" s="61" t="s">
        <v>499</v>
      </c>
      <c r="D42" s="59" t="s">
        <v>564</v>
      </c>
      <c r="E42" s="72"/>
      <c r="F42" s="61"/>
      <c r="I42" s="61"/>
      <c r="N42" s="58" t="s">
        <v>641</v>
      </c>
      <c r="O42" t="s">
        <v>640</v>
      </c>
      <c r="P42" t="s">
        <v>658</v>
      </c>
      <c r="R42" s="58" t="s">
        <v>181</v>
      </c>
    </row>
    <row r="43" spans="1:18">
      <c r="A43" t="s">
        <v>500</v>
      </c>
      <c r="B43" s="59" t="s">
        <v>427</v>
      </c>
      <c r="C43" s="61" t="s">
        <v>500</v>
      </c>
      <c r="D43" s="59" t="s">
        <v>549</v>
      </c>
      <c r="E43" s="72"/>
      <c r="F43" s="61"/>
      <c r="I43" s="61"/>
      <c r="R43" s="58" t="s">
        <v>376</v>
      </c>
    </row>
    <row r="44" spans="1:18">
      <c r="A44" t="s">
        <v>502</v>
      </c>
      <c r="B44" s="59" t="s">
        <v>367</v>
      </c>
      <c r="C44" s="61" t="s">
        <v>502</v>
      </c>
      <c r="D44" s="59"/>
      <c r="E44" s="72"/>
      <c r="F44" s="61"/>
      <c r="I44" s="61"/>
    </row>
    <row r="46" spans="1:18">
      <c r="B46" s="16"/>
      <c r="D46" s="16"/>
      <c r="G46" s="16"/>
      <c r="J46" s="16"/>
      <c r="L46" s="16"/>
    </row>
  </sheetData>
  <phoneticPr fontId="18" type="noConversion"/>
  <conditionalFormatting sqref="B3:B44 B46">
    <cfRule type="expression" dxfId="35" priority="64" stopIfTrue="1">
      <formula>IF(OR(#REF!="B",#REF!="D",#REF!="F",#REF!="H"),TRUE,FALSE)</formula>
    </cfRule>
    <cfRule type="expression" dxfId="34" priority="63" stopIfTrue="1">
      <formula>IF(#REF!="Z",TRUE,FALSE)</formula>
    </cfRule>
  </conditionalFormatting>
  <conditionalFormatting sqref="D46">
    <cfRule type="expression" dxfId="33" priority="62" stopIfTrue="1">
      <formula>IF(OR(#REF!="B",#REF!="D",#REF!="F",#REF!="H"),TRUE,FALSE)</formula>
    </cfRule>
    <cfRule type="expression" dxfId="32" priority="61" stopIfTrue="1">
      <formula>IF(#REF!="Z",TRUE,FALSE)</formula>
    </cfRule>
  </conditionalFormatting>
  <conditionalFormatting sqref="G3:G38">
    <cfRule type="expression" dxfId="31" priority="54" stopIfTrue="1">
      <formula>IF(OR(#REF!="B",#REF!="D",#REF!="F",#REF!="H"),TRUE,FALSE)</formula>
    </cfRule>
    <cfRule type="expression" dxfId="30" priority="53" stopIfTrue="1">
      <formula>IF(#REF!="Z",TRUE,FALSE)</formula>
    </cfRule>
  </conditionalFormatting>
  <conditionalFormatting sqref="G46">
    <cfRule type="expression" dxfId="29" priority="56" stopIfTrue="1">
      <formula>IF(OR(#REF!="B",#REF!="D",#REF!="F",#REF!="H"),TRUE,FALSE)</formula>
    </cfRule>
    <cfRule type="expression" dxfId="28" priority="55" stopIfTrue="1">
      <formula>IF(#REF!="Z",TRUE,FALSE)</formula>
    </cfRule>
  </conditionalFormatting>
  <conditionalFormatting sqref="J3:J19">
    <cfRule type="expression" dxfId="27" priority="31" stopIfTrue="1">
      <formula>IF(#REF!="Z",TRUE,FALSE)</formula>
    </cfRule>
    <cfRule type="expression" dxfId="26" priority="32" stopIfTrue="1">
      <formula>IF(OR(#REF!="B",#REF!="D",#REF!="F",#REF!="H"),TRUE,FALSE)</formula>
    </cfRule>
  </conditionalFormatting>
  <conditionalFormatting sqref="J18:J38">
    <cfRule type="expression" dxfId="25" priority="29" stopIfTrue="1">
      <formula>IF(#REF!="Z",TRUE,FALSE)</formula>
    </cfRule>
    <cfRule type="expression" dxfId="24" priority="30" stopIfTrue="1">
      <formula>IF(OR(#REF!="B",#REF!="D",#REF!="F",#REF!="H"),TRUE,FALSE)</formula>
    </cfRule>
  </conditionalFormatting>
  <conditionalFormatting sqref="J46">
    <cfRule type="expression" dxfId="23" priority="51" stopIfTrue="1">
      <formula>IF(#REF!="Z",TRUE,FALSE)</formula>
    </cfRule>
    <cfRule type="expression" dxfId="22" priority="52" stopIfTrue="1">
      <formula>IF(OR(#REF!="B",#REF!="D",#REF!="F",#REF!="H"),TRUE,FALSE)</formula>
    </cfRule>
  </conditionalFormatting>
  <conditionalFormatting sqref="L3:L15 L17:L19">
    <cfRule type="expression" dxfId="21" priority="18" stopIfTrue="1">
      <formula>IF(OR(#REF!="B",#REF!="D",#REF!="F",#REF!="H"),TRUE,FALSE)</formula>
    </cfRule>
    <cfRule type="expression" dxfId="20" priority="17" stopIfTrue="1">
      <formula>IF(#REF!="Z",TRUE,FALSE)</formula>
    </cfRule>
  </conditionalFormatting>
  <conditionalFormatting sqref="L15:L38">
    <cfRule type="expression" dxfId="19" priority="16" stopIfTrue="1">
      <formula>IF(OR(#REF!="B",#REF!="D",#REF!="F",#REF!="H"),TRUE,FALSE)</formula>
    </cfRule>
    <cfRule type="expression" dxfId="18" priority="15" stopIfTrue="1">
      <formula>IF(#REF!="Z",TRUE,FALSE)</formula>
    </cfRule>
  </conditionalFormatting>
  <conditionalFormatting sqref="L46">
    <cfRule type="expression" dxfId="17" priority="27" stopIfTrue="1">
      <formula>IF(#REF!="Z",TRUE,FALSE)</formula>
    </cfRule>
    <cfRule type="expression" dxfId="16" priority="28" stopIfTrue="1">
      <formula>IF(OR(#REF!="B",#REF!="D",#REF!="F",#REF!="H"),TRUE,FALSE)</formula>
    </cfRule>
  </conditionalFormatting>
  <conditionalFormatting sqref="N3:N42 D3:D44">
    <cfRule type="expression" dxfId="15" priority="57" stopIfTrue="1">
      <formula>IF(#REF!="Z",TRUE,FALSE)</formula>
    </cfRule>
    <cfRule type="expression" dxfId="14" priority="58" stopIfTrue="1">
      <formula>IF(OR(#REF!="B",#REF!="D",#REF!="F",#REF!="H"),TRUE,FALSE)</formula>
    </cfRule>
  </conditionalFormatting>
  <conditionalFormatting sqref="N20:N22">
    <cfRule type="expression" dxfId="13" priority="14" stopIfTrue="1">
      <formula>IF(OR(#REF!="B",#REF!="D",#REF!="F",#REF!="H"),TRUE,FALSE)</formula>
    </cfRule>
    <cfRule type="expression" dxfId="12" priority="13" stopIfTrue="1">
      <formula>IF(#REF!="Z",TRUE,FALSE)</formula>
    </cfRule>
  </conditionalFormatting>
  <conditionalFormatting sqref="R3:R43">
    <cfRule type="expression" dxfId="11" priority="4" stopIfTrue="1">
      <formula>IF(OR(#REF!="B",#REF!="D",#REF!="F",#REF!="H"),TRUE,FALSE)</formula>
    </cfRule>
    <cfRule type="expression" dxfId="10" priority="3" stopIfTrue="1">
      <formula>IF(#REF!="Z",TRUE,FALSE)</formula>
    </cfRule>
  </conditionalFormatting>
  <conditionalFormatting sqref="R20:R23">
    <cfRule type="expression" dxfId="9" priority="2" stopIfTrue="1">
      <formula>IF(OR(#REF!="B",#REF!="D",#REF!="F",#REF!="H"),TRUE,FALSE)</formula>
    </cfRule>
    <cfRule type="expression" dxfId="8" priority="1" stopIfTrue="1">
      <formula>IF(#REF!="Z",TRUE,FALSE)</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T40"/>
  <sheetViews>
    <sheetView zoomScaleNormal="100" workbookViewId="0">
      <selection activeCell="B4" sqref="B4:B6"/>
    </sheetView>
  </sheetViews>
  <sheetFormatPr baseColWidth="10" defaultColWidth="8.83203125" defaultRowHeight="15"/>
  <cols>
    <col min="1" max="10" width="12.33203125" customWidth="1"/>
    <col min="11" max="11" width="10.6640625" customWidth="1"/>
    <col min="12" max="14" width="8.5" customWidth="1"/>
    <col min="15" max="15" width="10.6640625" customWidth="1"/>
    <col min="16" max="16" width="10" customWidth="1"/>
    <col min="17" max="17" width="10.6640625" style="4" customWidth="1"/>
  </cols>
  <sheetData>
    <row r="1" spans="1:18" ht="15.75" customHeight="1">
      <c r="A1" s="21"/>
      <c r="B1" s="98" t="e">
        <f t="shared" ref="B1:J1" ca="1" si="0">VLOOKUP(CONCATENATE(LEFT($A$2,1),COLUMN()-1),nevezettek,3,FALSE)</f>
        <v>#N/A</v>
      </c>
      <c r="C1" s="98" t="e">
        <f t="shared" ca="1" si="0"/>
        <v>#N/A</v>
      </c>
      <c r="D1" s="98" t="e">
        <f t="shared" ca="1" si="0"/>
        <v>#N/A</v>
      </c>
      <c r="E1" s="98" t="e">
        <f t="shared" ca="1" si="0"/>
        <v>#N/A</v>
      </c>
      <c r="F1" s="98" t="e">
        <f t="shared" ca="1" si="0"/>
        <v>#N/A</v>
      </c>
      <c r="G1" s="98" t="e">
        <f t="shared" ca="1" si="0"/>
        <v>#N/A</v>
      </c>
      <c r="H1" s="98" t="e">
        <f t="shared" ca="1" si="0"/>
        <v>#N/A</v>
      </c>
      <c r="I1" s="98" t="e">
        <f t="shared" ca="1" si="0"/>
        <v>#N/A</v>
      </c>
      <c r="J1" s="107" t="e">
        <f t="shared" ca="1" si="0"/>
        <v>#N/A</v>
      </c>
      <c r="K1" s="110" t="s">
        <v>31</v>
      </c>
      <c r="L1" s="113" t="s">
        <v>59</v>
      </c>
      <c r="M1" s="89" t="s">
        <v>58</v>
      </c>
      <c r="N1" s="92" t="s">
        <v>65</v>
      </c>
      <c r="O1" s="95" t="s">
        <v>167</v>
      </c>
      <c r="P1" s="4"/>
    </row>
    <row r="2" spans="1:18">
      <c r="A2" s="22" t="str">
        <f ca="1">RIGHT(CELL("filename",A1),6)</f>
        <v>H liga</v>
      </c>
      <c r="B2" s="99"/>
      <c r="C2" s="99"/>
      <c r="D2" s="99"/>
      <c r="E2" s="99"/>
      <c r="F2" s="99"/>
      <c r="G2" s="99"/>
      <c r="H2" s="99"/>
      <c r="I2" s="99"/>
      <c r="J2" s="108"/>
      <c r="K2" s="111"/>
      <c r="L2" s="114"/>
      <c r="M2" s="90"/>
      <c r="N2" s="93"/>
      <c r="O2" s="96"/>
      <c r="P2" s="4"/>
    </row>
    <row r="3" spans="1:18">
      <c r="A3" s="23">
        <f ca="1">COUNTIF(Ligabeosztas!D:D,LEFT(A2,1))</f>
        <v>0</v>
      </c>
      <c r="B3" s="100"/>
      <c r="C3" s="100"/>
      <c r="D3" s="100"/>
      <c r="E3" s="100"/>
      <c r="F3" s="100"/>
      <c r="G3" s="100"/>
      <c r="H3" s="100"/>
      <c r="I3" s="100"/>
      <c r="J3" s="109"/>
      <c r="K3" s="112"/>
      <c r="L3" s="115"/>
      <c r="M3" s="91"/>
      <c r="N3" s="94"/>
      <c r="O3" s="97"/>
      <c r="P3" s="4"/>
      <c r="Q3" s="24"/>
    </row>
    <row r="4" spans="1:18" ht="15" customHeight="1">
      <c r="A4" s="98" t="e">
        <f ca="1">B1</f>
        <v>#N/A</v>
      </c>
      <c r="B4" s="101"/>
      <c r="C4" s="104"/>
      <c r="D4" s="104"/>
      <c r="E4" s="104"/>
      <c r="F4" s="104"/>
      <c r="G4" s="104"/>
      <c r="H4" s="104"/>
      <c r="I4" s="104"/>
      <c r="J4" s="124"/>
      <c r="K4" s="127">
        <f>5*(COUNTIF(B4:J6,"5/0")+COUNTIF(B4:J6,"4/1")+COUNTIF(B4:J6,"3/2")+COUNTIF(B4:J6,"5/-"))+3*COUNTIF(B4:J6,"2/3")+2*COUNTIF(B4:J6,"1/4")+COUNTIF(B4:J6,"0/5")+0.01*L4+0.0001*(M4-N4)</f>
        <v>0</v>
      </c>
      <c r="L4" s="130">
        <f>1*COUNTIF(B4:J6,"5/0")+1*COUNTIF(B4:J6,"4/1")+1*COUNTIF(B4:J6,"3/2")+1*COUNTIF(B4:J6,"5/-")+0*COUNTIF(B4:J6,"2/3")+0*COUNTIF(B4:J6,"1/4")+0*COUNTIF(B4:J6,"0/5")</f>
        <v>0</v>
      </c>
      <c r="M4" s="116">
        <f>5*COUNTIF(B4:J6,"5/0")+4*COUNTIF(B4:J6,"4/1")+3*COUNTIF(B4:J6,"3/2")+5*COUNTIF(B4:J6,"5/-")+2*COUNTIF(B4:J6,"2/3")+1*COUNTIF(B4:J6,"1/4")+0*COUNTIF(B4:J6,"0/5")</f>
        <v>0</v>
      </c>
      <c r="N4" s="119">
        <f>0*COUNTIF(B4:J6,"5/0")+1*COUNTIF(B4:J6,"4/1")+2*COUNTIF(B4:J6,"3/2")+3*COUNTIF(B4:J6,"2/3")+4*COUNTIF(B4:J6,"1/4")+5*COUNTIF(B4:J6,"0/5")+5*COUNTIF(B4:J6,"-/5")</f>
        <v>0</v>
      </c>
      <c r="O4" s="133">
        <f>RANK(K4,K$4:K$30)</f>
        <v>1</v>
      </c>
      <c r="P4" s="9"/>
    </row>
    <row r="5" spans="1:18">
      <c r="A5" s="99"/>
      <c r="B5" s="102"/>
      <c r="C5" s="105"/>
      <c r="D5" s="105"/>
      <c r="E5" s="105"/>
      <c r="F5" s="105"/>
      <c r="G5" s="105"/>
      <c r="H5" s="105"/>
      <c r="I5" s="105"/>
      <c r="J5" s="125"/>
      <c r="K5" s="128"/>
      <c r="L5" s="131"/>
      <c r="M5" s="117"/>
      <c r="N5" s="120"/>
      <c r="O5" s="134"/>
      <c r="P5" s="4"/>
    </row>
    <row r="6" spans="1:18">
      <c r="A6" s="100"/>
      <c r="B6" s="103"/>
      <c r="C6" s="106"/>
      <c r="D6" s="106"/>
      <c r="E6" s="106"/>
      <c r="F6" s="106"/>
      <c r="G6" s="106"/>
      <c r="H6" s="106"/>
      <c r="I6" s="106"/>
      <c r="J6" s="126"/>
      <c r="K6" s="129"/>
      <c r="L6" s="132"/>
      <c r="M6" s="118"/>
      <c r="N6" s="121"/>
      <c r="O6" s="29">
        <f>IFERROR(K4/SUM(M4:N6),0)</f>
        <v>0</v>
      </c>
      <c r="P6" s="10"/>
    </row>
    <row r="7" spans="1:18">
      <c r="A7" s="98" t="e">
        <f ca="1">C1</f>
        <v>#N/A</v>
      </c>
      <c r="B7" s="104"/>
      <c r="C7" s="101"/>
      <c r="D7" s="104"/>
      <c r="E7" s="104"/>
      <c r="F7" s="104"/>
      <c r="G7" s="104"/>
      <c r="H7" s="104"/>
      <c r="I7" s="104"/>
      <c r="J7" s="124"/>
      <c r="K7" s="127">
        <f>5*(COUNTIF(B7:J9,"5/0")+COUNTIF(B7:J9,"4/1")+COUNTIF(B7:J9,"3/2")+COUNTIF(B7:J9,"5/-"))+3*COUNTIF(B7:J9,"2/3")+2*COUNTIF(B7:J9,"1/4")+COUNTIF(B7:J9,"0/5")+0.01*L7+0.0001*(M7-N7)</f>
        <v>0</v>
      </c>
      <c r="L7" s="130">
        <f>1*COUNTIF(B7:J9,"5/0")+1*COUNTIF(B7:J9,"4/1")+1*COUNTIF(B7:J9,"3/2")+1*COUNTIF(B7:J9,"5/-")+0*COUNTIF(B7:J9,"2/3")+0*COUNTIF(B7:J9,"1/4")+0*COUNTIF(B7:J9,"0/5")</f>
        <v>0</v>
      </c>
      <c r="M7" s="116">
        <f>5*COUNTIF(B7:J9,"5/0")+4*COUNTIF(B7:J9,"4/1")+3*COUNTIF(B7:J9,"3/2")+5*COUNTIF(B7:J9,"5/-")+2*COUNTIF(B7:J9,"2/3")+1*COUNTIF(B7:J9,"1/4")+0*COUNTIF(B7:J9,"0/5")</f>
        <v>0</v>
      </c>
      <c r="N7" s="119">
        <f>0*COUNTIF(B7:J9,"5/0")+1*COUNTIF(B7:J9,"4/1")+2*COUNTIF(B7:J9,"3/2")+3*COUNTIF(B7:J9,"2/3")+4*COUNTIF(B7:J9,"1/4")+5*COUNTIF(B7:J9,"0/5")+5*COUNTIF(B7:J9,"-/5")</f>
        <v>0</v>
      </c>
      <c r="O7" s="133">
        <f>RANK(K7,K$4:K$30)</f>
        <v>1</v>
      </c>
      <c r="P7" s="10"/>
      <c r="R7" s="5"/>
    </row>
    <row r="8" spans="1:18">
      <c r="A8" s="99"/>
      <c r="B8" s="105"/>
      <c r="C8" s="102"/>
      <c r="D8" s="105"/>
      <c r="E8" s="105"/>
      <c r="F8" s="105"/>
      <c r="G8" s="105"/>
      <c r="H8" s="105"/>
      <c r="I8" s="105"/>
      <c r="J8" s="125"/>
      <c r="K8" s="128"/>
      <c r="L8" s="131"/>
      <c r="M8" s="117"/>
      <c r="N8" s="120"/>
      <c r="O8" s="134"/>
      <c r="P8" s="2"/>
      <c r="R8" s="5"/>
    </row>
    <row r="9" spans="1:18">
      <c r="A9" s="100"/>
      <c r="B9" s="106"/>
      <c r="C9" s="103"/>
      <c r="D9" s="106"/>
      <c r="E9" s="106"/>
      <c r="F9" s="106"/>
      <c r="G9" s="106"/>
      <c r="H9" s="106"/>
      <c r="I9" s="106"/>
      <c r="J9" s="126"/>
      <c r="K9" s="129"/>
      <c r="L9" s="132"/>
      <c r="M9" s="118"/>
      <c r="N9" s="121"/>
      <c r="O9" s="29">
        <f>IFERROR(K7/SUM(M7:N9),0)</f>
        <v>0</v>
      </c>
      <c r="P9" s="10"/>
      <c r="R9" s="8"/>
    </row>
    <row r="10" spans="1:18">
      <c r="A10" s="98" t="e">
        <f ca="1">D1</f>
        <v>#N/A</v>
      </c>
      <c r="B10" s="104"/>
      <c r="C10" s="104"/>
      <c r="D10" s="101"/>
      <c r="E10" s="104"/>
      <c r="F10" s="104"/>
      <c r="G10" s="104"/>
      <c r="H10" s="104"/>
      <c r="I10" s="104"/>
      <c r="J10" s="124"/>
      <c r="K10" s="127">
        <f>5*(COUNTIF(B10:J12,"5/0")+COUNTIF(B10:J12,"4/1")+COUNTIF(B10:J12,"3/2")+COUNTIF(B10:J12,"5/-"))+3*COUNTIF(B10:J12,"2/3")+2*COUNTIF(B10:J12,"1/4")+COUNTIF(B10:J12,"0/5")+0.01*L10+0.0001*(M10-N10)</f>
        <v>0</v>
      </c>
      <c r="L10" s="130">
        <f>1*COUNTIF(B10:J12,"5/0")+1*COUNTIF(B10:J12,"4/1")+1*COUNTIF(B10:J12,"3/2")+1*COUNTIF(B10:J12,"5/-")+0*COUNTIF(B10:J12,"2/3")+0*COUNTIF(B10:J12,"1/4")+0*COUNTIF(B10:J12,"0/5")</f>
        <v>0</v>
      </c>
      <c r="M10" s="116">
        <f>5*COUNTIF(B10:J12,"5/0")+4*COUNTIF(B10:J12,"4/1")+3*COUNTIF(B10:J12,"3/2")+5*COUNTIF(B10:J12,"5/-")+2*COUNTIF(B10:J12,"2/3")+1*COUNTIF(B10:J12,"1/4")+0*COUNTIF(B10:J12,"0/5")</f>
        <v>0</v>
      </c>
      <c r="N10" s="119">
        <f>0*COUNTIF(B10:J12,"5/0")+1*COUNTIF(B10:J12,"4/1")+2*COUNTIF(B10:J12,"3/2")+3*COUNTIF(B10:J12,"2/3")+4*COUNTIF(B10:J12,"1/4")+5*COUNTIF(B10:J12,"0/5")+5*COUNTIF(B10:J12,"-/5")</f>
        <v>0</v>
      </c>
      <c r="O10" s="133">
        <f>RANK(K10,K$4:K$30)</f>
        <v>1</v>
      </c>
      <c r="P10" s="10"/>
    </row>
    <row r="11" spans="1:18">
      <c r="A11" s="99"/>
      <c r="B11" s="105"/>
      <c r="C11" s="105"/>
      <c r="D11" s="102"/>
      <c r="E11" s="105"/>
      <c r="F11" s="105"/>
      <c r="G11" s="105"/>
      <c r="H11" s="105"/>
      <c r="I11" s="105"/>
      <c r="J11" s="125"/>
      <c r="K11" s="128"/>
      <c r="L11" s="131"/>
      <c r="M11" s="117"/>
      <c r="N11" s="120"/>
      <c r="O11" s="134"/>
      <c r="P11" s="1"/>
      <c r="R11" s="6"/>
    </row>
    <row r="12" spans="1:18">
      <c r="A12" s="100"/>
      <c r="B12" s="106"/>
      <c r="C12" s="106"/>
      <c r="D12" s="103"/>
      <c r="E12" s="106"/>
      <c r="F12" s="106"/>
      <c r="G12" s="106"/>
      <c r="H12" s="106"/>
      <c r="I12" s="106"/>
      <c r="J12" s="126"/>
      <c r="K12" s="129"/>
      <c r="L12" s="132"/>
      <c r="M12" s="118"/>
      <c r="N12" s="121"/>
      <c r="O12" s="29">
        <f>IFERROR(K10/SUM(M10:N12),0)</f>
        <v>0</v>
      </c>
      <c r="P12" s="10"/>
    </row>
    <row r="13" spans="1:18">
      <c r="A13" s="98" t="e">
        <f ca="1">E1</f>
        <v>#N/A</v>
      </c>
      <c r="B13" s="104"/>
      <c r="C13" s="104"/>
      <c r="D13" s="104"/>
      <c r="E13" s="101"/>
      <c r="F13" s="104"/>
      <c r="G13" s="104"/>
      <c r="H13" s="104"/>
      <c r="I13" s="104"/>
      <c r="J13" s="124"/>
      <c r="K13" s="127">
        <f>5*(COUNTIF(B13:J15,"5/0")+COUNTIF(B13:J15,"4/1")+COUNTIF(B13:J15,"3/2")+COUNTIF(B13:J15,"5/-"))+3*COUNTIF(B13:J15,"2/3")+2*COUNTIF(B13:J15,"1/4")+COUNTIF(B13:J15,"0/5")+0.01*L13+0.0001*(M13-N13)</f>
        <v>0</v>
      </c>
      <c r="L13" s="130">
        <f>1*COUNTIF(B13:J15,"5/0")+1*COUNTIF(B13:J15,"4/1")+1*COUNTIF(B13:J15,"3/2")+1*COUNTIF(B13:J15,"5/-")+0*COUNTIF(B13:J15,"2/3")+0*COUNTIF(B13:J15,"1/4")+0*COUNTIF(B13:J15,"0/5")</f>
        <v>0</v>
      </c>
      <c r="M13" s="116">
        <f>5*COUNTIF(B13:J15,"5/0")+4*COUNTIF(B13:J15,"4/1")+3*COUNTIF(B13:J15,"3/2")+5*COUNTIF(B13:J15,"5/-")+2*COUNTIF(B13:J15,"2/3")+1*COUNTIF(B13:J15,"1/4")+0*COUNTIF(B13:J15,"0/5")</f>
        <v>0</v>
      </c>
      <c r="N13" s="119">
        <f>0*COUNTIF(B13:J15,"5/0")+1*COUNTIF(B13:J15,"4/1")+2*COUNTIF(B13:J15,"3/2")+3*COUNTIF(B13:J15,"2/3")+4*COUNTIF(B13:J15,"1/4")+5*COUNTIF(B13:J15,"0/5")+5*COUNTIF(B13:J15,"-/5")</f>
        <v>0</v>
      </c>
      <c r="O13" s="133">
        <f>RANK(K13,K$4:K$30)</f>
        <v>1</v>
      </c>
      <c r="P13" s="10"/>
    </row>
    <row r="14" spans="1:18">
      <c r="A14" s="99"/>
      <c r="B14" s="105"/>
      <c r="C14" s="105"/>
      <c r="D14" s="105"/>
      <c r="E14" s="102"/>
      <c r="F14" s="105"/>
      <c r="G14" s="105"/>
      <c r="H14" s="105"/>
      <c r="I14" s="105"/>
      <c r="J14" s="125"/>
      <c r="K14" s="128"/>
      <c r="L14" s="131"/>
      <c r="M14" s="117"/>
      <c r="N14" s="120"/>
      <c r="O14" s="134"/>
      <c r="P14" s="4"/>
      <c r="R14" s="6"/>
    </row>
    <row r="15" spans="1:18">
      <c r="A15" s="100"/>
      <c r="B15" s="106"/>
      <c r="C15" s="106"/>
      <c r="D15" s="106"/>
      <c r="E15" s="103"/>
      <c r="F15" s="106"/>
      <c r="G15" s="106"/>
      <c r="H15" s="106"/>
      <c r="I15" s="106"/>
      <c r="J15" s="126"/>
      <c r="K15" s="129"/>
      <c r="L15" s="132"/>
      <c r="M15" s="118"/>
      <c r="N15" s="121"/>
      <c r="O15" s="29">
        <f>IFERROR(K13/SUM(M13:N15),0)</f>
        <v>0</v>
      </c>
      <c r="P15" s="10"/>
    </row>
    <row r="16" spans="1:18">
      <c r="A16" s="98" t="e">
        <f ca="1">F1</f>
        <v>#N/A</v>
      </c>
      <c r="B16" s="104"/>
      <c r="C16" s="104"/>
      <c r="D16" s="104"/>
      <c r="E16" s="104"/>
      <c r="F16" s="101"/>
      <c r="G16" s="104"/>
      <c r="H16" s="104"/>
      <c r="I16" s="104"/>
      <c r="J16" s="124"/>
      <c r="K16" s="127">
        <f>5*(COUNTIF(B16:J18,"5/0")+COUNTIF(B16:J18,"4/1")+COUNTIF(B16:J18,"3/2")+COUNTIF(B16:J18,"5/-"))+3*COUNTIF(B16:J18,"2/3")+2*COUNTIF(B16:J18,"1/4")+COUNTIF(B16:J18,"0/5")+0.01*L16+0.0001*(M16-N16)</f>
        <v>0</v>
      </c>
      <c r="L16" s="130">
        <f>1*COUNTIF(B16:J18,"5/0")+1*COUNTIF(B16:J18,"4/1")+1*COUNTIF(B16:J18,"3/2")+1*COUNTIF(B16:J18,"5/-")+0*COUNTIF(B16:J18,"2/3")+0*COUNTIF(B16:J18,"1/4")+0*COUNTIF(B16:J18,"0/5")</f>
        <v>0</v>
      </c>
      <c r="M16" s="116">
        <f>5*COUNTIF(B16:J18,"5/0")+4*COUNTIF(B16:J18,"4/1")+3*COUNTIF(B16:J18,"3/2")+5*COUNTIF(B16:J18,"5/-")+2*COUNTIF(B16:J18,"2/3")+1*COUNTIF(B16:J18,"1/4")+0*COUNTIF(B16:J18,"0/5")</f>
        <v>0</v>
      </c>
      <c r="N16" s="119">
        <f>0*COUNTIF(B16:J18,"5/0")+1*COUNTIF(B16:J18,"4/1")+2*COUNTIF(B16:J18,"3/2")+3*COUNTIF(B16:J18,"2/3")+4*COUNTIF(B16:J18,"1/4")+5*COUNTIF(B16:J18,"0/5")+5*COUNTIF(B16:J18,"-/5")</f>
        <v>0</v>
      </c>
      <c r="O16" s="133">
        <f>RANK(K16,K$4:K$30)</f>
        <v>1</v>
      </c>
      <c r="P16" s="10"/>
    </row>
    <row r="17" spans="1:20">
      <c r="A17" s="99"/>
      <c r="B17" s="105"/>
      <c r="C17" s="105"/>
      <c r="D17" s="105"/>
      <c r="E17" s="105"/>
      <c r="F17" s="102"/>
      <c r="G17" s="105"/>
      <c r="H17" s="105"/>
      <c r="I17" s="105"/>
      <c r="J17" s="125"/>
      <c r="K17" s="128"/>
      <c r="L17" s="131"/>
      <c r="M17" s="117"/>
      <c r="N17" s="120"/>
      <c r="O17" s="134"/>
      <c r="P17" s="4"/>
    </row>
    <row r="18" spans="1:20">
      <c r="A18" s="100"/>
      <c r="B18" s="106"/>
      <c r="C18" s="106"/>
      <c r="D18" s="106"/>
      <c r="E18" s="106"/>
      <c r="F18" s="103"/>
      <c r="G18" s="106"/>
      <c r="H18" s="106"/>
      <c r="I18" s="106"/>
      <c r="J18" s="126"/>
      <c r="K18" s="129"/>
      <c r="L18" s="132"/>
      <c r="M18" s="118"/>
      <c r="N18" s="121"/>
      <c r="O18" s="29">
        <f>IFERROR(K16/SUM(M16:N18),0)</f>
        <v>0</v>
      </c>
      <c r="P18" s="10"/>
    </row>
    <row r="19" spans="1:20">
      <c r="A19" s="98" t="e">
        <f ca="1">G1</f>
        <v>#N/A</v>
      </c>
      <c r="B19" s="104"/>
      <c r="C19" s="104"/>
      <c r="D19" s="104"/>
      <c r="E19" s="104"/>
      <c r="F19" s="104"/>
      <c r="G19" s="101"/>
      <c r="H19" s="104"/>
      <c r="I19" s="104"/>
      <c r="J19" s="124"/>
      <c r="K19" s="127">
        <f>5*(COUNTIF(B19:J21,"5/0")+COUNTIF(B19:J21,"4/1")+COUNTIF(B19:J21,"3/2")+COUNTIF(B19:J21,"5/-"))+3*COUNTIF(B19:J21,"2/3")+2*COUNTIF(B19:J21,"1/4")+COUNTIF(B19:J21,"0/5")+0.01*L19+0.0001*(M19-N19)</f>
        <v>0</v>
      </c>
      <c r="L19" s="130">
        <f>1*COUNTIF(B19:J21,"5/0")+1*COUNTIF(B19:J21,"4/1")+1*COUNTIF(B19:J21,"3/2")+1*COUNTIF(B19:J21,"5/-")+0*COUNTIF(B19:J21,"2/3")+0*COUNTIF(B19:J21,"1/4")+0*COUNTIF(B19:J21,"0/5")</f>
        <v>0</v>
      </c>
      <c r="M19" s="116">
        <f>5*COUNTIF(B19:J21,"5/0")+4*COUNTIF(B19:J21,"4/1")+3*COUNTIF(B19:J21,"3/2")+5*COUNTIF(B19:J21,"5/-")+2*COUNTIF(B19:J21,"2/3")+1*COUNTIF(B19:J21,"1/4")+0*COUNTIF(B19:J21,"0/5")</f>
        <v>0</v>
      </c>
      <c r="N19" s="119">
        <f>0*COUNTIF(B19:J21,"5/0")+1*COUNTIF(B19:J21,"4/1")+2*COUNTIF(B19:J21,"3/2")+3*COUNTIF(B19:J21,"2/3")+4*COUNTIF(B19:J21,"1/4")+5*COUNTIF(B19:J21,"0/5")+5*COUNTIF(B19:J21,"-/5")</f>
        <v>0</v>
      </c>
      <c r="O19" s="133">
        <f>RANK(K19,K$4:K$30)</f>
        <v>1</v>
      </c>
      <c r="P19" s="10"/>
      <c r="R19" s="5"/>
    </row>
    <row r="20" spans="1:20">
      <c r="A20" s="99"/>
      <c r="B20" s="105"/>
      <c r="C20" s="105"/>
      <c r="D20" s="105"/>
      <c r="E20" s="105"/>
      <c r="F20" s="105"/>
      <c r="G20" s="102"/>
      <c r="H20" s="105"/>
      <c r="I20" s="105"/>
      <c r="J20" s="125"/>
      <c r="K20" s="128"/>
      <c r="L20" s="131"/>
      <c r="M20" s="117"/>
      <c r="N20" s="120"/>
      <c r="O20" s="134"/>
      <c r="P20" s="1"/>
      <c r="R20" s="5"/>
    </row>
    <row r="21" spans="1:20">
      <c r="A21" s="100"/>
      <c r="B21" s="106"/>
      <c r="C21" s="106"/>
      <c r="D21" s="106"/>
      <c r="E21" s="106"/>
      <c r="F21" s="106"/>
      <c r="G21" s="103"/>
      <c r="H21" s="106"/>
      <c r="I21" s="106"/>
      <c r="J21" s="126"/>
      <c r="K21" s="129"/>
      <c r="L21" s="132"/>
      <c r="M21" s="118"/>
      <c r="N21" s="121"/>
      <c r="O21" s="29">
        <f>IFERROR(K19/SUM(M19:N21),0)</f>
        <v>0</v>
      </c>
      <c r="P21" s="10"/>
    </row>
    <row r="22" spans="1:20">
      <c r="A22" s="98" t="e">
        <f ca="1">H1</f>
        <v>#N/A</v>
      </c>
      <c r="B22" s="104"/>
      <c r="C22" s="104"/>
      <c r="D22" s="104"/>
      <c r="E22" s="104"/>
      <c r="F22" s="104"/>
      <c r="G22" s="104"/>
      <c r="H22" s="101"/>
      <c r="I22" s="104"/>
      <c r="J22" s="124"/>
      <c r="K22" s="127">
        <f>5*(COUNTIF(B22:J24,"5/0")+COUNTIF(B22:J24,"4/1")+COUNTIF(B22:J24,"3/2")+COUNTIF(B22:J24,"5/-"))+3*COUNTIF(B22:J24,"2/3")+2*COUNTIF(B22:J24,"1/4")+COUNTIF(B22:J24,"0/5")+0.01*L22+0.0001*(M22-N22)</f>
        <v>0</v>
      </c>
      <c r="L22" s="130">
        <f>1*COUNTIF(B22:J24,"5/0")+1*COUNTIF(B22:J24,"4/1")+1*COUNTIF(B22:J24,"3/2")+1*COUNTIF(B22:J24,"5/-")+0*COUNTIF(B22:J24,"2/3")+0*COUNTIF(B22:J24,"1/4")+0*COUNTIF(B22:J24,"0/5")</f>
        <v>0</v>
      </c>
      <c r="M22" s="116">
        <f>5*COUNTIF(B22:J24,"5/0")+4*COUNTIF(B22:J24,"4/1")+3*COUNTIF(B22:J24,"3/2")+5*COUNTIF(B22:J24,"5/-")+2*COUNTIF(B22:J24,"2/3")+1*COUNTIF(B22:J24,"1/4")+0*COUNTIF(B22:J24,"0/5")</f>
        <v>0</v>
      </c>
      <c r="N22" s="119">
        <f>0*COUNTIF(B22:J24,"5/0")+1*COUNTIF(B22:J24,"4/1")+2*COUNTIF(B22:J24,"3/2")+3*COUNTIF(B22:J24,"2/3")+4*COUNTIF(B22:J24,"1/4")+5*COUNTIF(B22:J24,"0/5")+5*COUNTIF(B22:J24,"-/5")</f>
        <v>0</v>
      </c>
      <c r="O22" s="133">
        <f>RANK(K22,K$4:K$30)</f>
        <v>1</v>
      </c>
      <c r="P22" s="10"/>
    </row>
    <row r="23" spans="1:20">
      <c r="A23" s="99"/>
      <c r="B23" s="105"/>
      <c r="C23" s="105"/>
      <c r="D23" s="105"/>
      <c r="E23" s="105"/>
      <c r="F23" s="105"/>
      <c r="G23" s="105"/>
      <c r="H23" s="102"/>
      <c r="I23" s="105"/>
      <c r="J23" s="125"/>
      <c r="K23" s="128"/>
      <c r="L23" s="131"/>
      <c r="M23" s="117"/>
      <c r="N23" s="120"/>
      <c r="O23" s="134"/>
      <c r="P23" s="1"/>
      <c r="R23" s="7"/>
      <c r="T23" s="3"/>
    </row>
    <row r="24" spans="1:20">
      <c r="A24" s="100"/>
      <c r="B24" s="106"/>
      <c r="C24" s="106"/>
      <c r="D24" s="106"/>
      <c r="E24" s="106"/>
      <c r="F24" s="106"/>
      <c r="G24" s="106"/>
      <c r="H24" s="103"/>
      <c r="I24" s="106"/>
      <c r="J24" s="126"/>
      <c r="K24" s="129"/>
      <c r="L24" s="132"/>
      <c r="M24" s="118"/>
      <c r="N24" s="121"/>
      <c r="O24" s="29">
        <f>IFERROR(K22/SUM(M22:N24),0)</f>
        <v>0</v>
      </c>
      <c r="P24" s="10"/>
    </row>
    <row r="25" spans="1:20">
      <c r="A25" s="98" t="e">
        <f ca="1">I1</f>
        <v>#N/A</v>
      </c>
      <c r="B25" s="104"/>
      <c r="C25" s="104"/>
      <c r="D25" s="104"/>
      <c r="E25" s="104"/>
      <c r="F25" s="104"/>
      <c r="G25" s="104"/>
      <c r="H25" s="104"/>
      <c r="I25" s="101"/>
      <c r="J25" s="124"/>
      <c r="K25" s="127">
        <f>5*(COUNTIF(B25:J27,"5/0")+COUNTIF(B25:J27,"4/1")+COUNTIF(B25:J27,"3/2")+COUNTIF(B25:J27,"5/-"))+3*COUNTIF(B25:J27,"2/3")+2*COUNTIF(B25:J27,"1/4")+COUNTIF(B25:J27,"0/5")+0.01*L25+0.0001*(M25-N25)</f>
        <v>0</v>
      </c>
      <c r="L25" s="130">
        <f>1*COUNTIF(B25:J27,"5/0")+1*COUNTIF(B25:J27,"4/1")+1*COUNTIF(B25:J27,"3/2")+1*COUNTIF(B25:J27,"5/-")+0*COUNTIF(B25:J27,"2/3")+0*COUNTIF(B25:J27,"1/4")+0*COUNTIF(B25:J27,"0/5")</f>
        <v>0</v>
      </c>
      <c r="M25" s="116">
        <f>5*COUNTIF(B25:J27,"5/0")+4*COUNTIF(B25:J27,"4/1")+3*COUNTIF(B25:J27,"3/2")+5*COUNTIF(B25:J27,"5/-")+2*COUNTIF(B25:J27,"2/3")+1*COUNTIF(B25:J27,"1/4")+0*COUNTIF(B25:J27,"0/5")</f>
        <v>0</v>
      </c>
      <c r="N25" s="119">
        <f>0*COUNTIF(B25:J27,"5/0")+1*COUNTIF(B25:J27,"4/1")+2*COUNTIF(B25:J27,"3/2")+3*COUNTIF(B25:J27,"2/3")+4*COUNTIF(B25:J27,"1/4")+5*COUNTIF(B25:J27,"0/5")+5*COUNTIF(B25:J27,"-/5")</f>
        <v>0</v>
      </c>
      <c r="O25" s="133">
        <f>RANK(K25,K$4:K$30)</f>
        <v>1</v>
      </c>
      <c r="P25" s="10"/>
    </row>
    <row r="26" spans="1:20">
      <c r="A26" s="99"/>
      <c r="B26" s="105"/>
      <c r="C26" s="105"/>
      <c r="D26" s="105"/>
      <c r="E26" s="105"/>
      <c r="F26" s="105"/>
      <c r="G26" s="105"/>
      <c r="H26" s="105"/>
      <c r="I26" s="102"/>
      <c r="J26" s="125"/>
      <c r="K26" s="128"/>
      <c r="L26" s="131"/>
      <c r="M26" s="117"/>
      <c r="N26" s="120"/>
      <c r="O26" s="134"/>
      <c r="P26" s="2"/>
    </row>
    <row r="27" spans="1:20">
      <c r="A27" s="100"/>
      <c r="B27" s="106"/>
      <c r="C27" s="106"/>
      <c r="D27" s="106"/>
      <c r="E27" s="106"/>
      <c r="F27" s="106"/>
      <c r="G27" s="106"/>
      <c r="H27" s="106"/>
      <c r="I27" s="103"/>
      <c r="J27" s="126"/>
      <c r="K27" s="129"/>
      <c r="L27" s="132"/>
      <c r="M27" s="118"/>
      <c r="N27" s="121"/>
      <c r="O27" s="29">
        <f>IFERROR(K25/SUM(M25:N27),0)</f>
        <v>0</v>
      </c>
      <c r="P27" s="10"/>
    </row>
    <row r="28" spans="1:20" ht="15" customHeight="1">
      <c r="A28" s="98" t="e">
        <f ca="1">J1</f>
        <v>#N/A</v>
      </c>
      <c r="B28" s="104"/>
      <c r="C28" s="104"/>
      <c r="D28" s="104"/>
      <c r="E28" s="104"/>
      <c r="F28" s="104"/>
      <c r="G28" s="104"/>
      <c r="H28" s="104"/>
      <c r="I28" s="104"/>
      <c r="J28" s="101"/>
      <c r="K28" s="127">
        <f>5*(COUNTIF(B28:J30,"5/0")+COUNTIF(B28:J30,"4/1")+COUNTIF(B28:J30,"3/2")+COUNTIF(B28:J30,"5/-"))+3*COUNTIF(B28:J30,"2/3")+2*COUNTIF(B28:J30,"1/4")+COUNTIF(B28:J30,"0/5")+0.01*L28+0.0001*(M28-N28)</f>
        <v>0</v>
      </c>
      <c r="L28" s="130">
        <f>1*COUNTIF(B28:J30,"5/0")+1*COUNTIF(B28:J30,"4/1")+1*COUNTIF(B28:J30,"3/2")+1*COUNTIF(B28:J30,"5/-")+0*COUNTIF(B28:J30,"2/3")+0*COUNTIF(B28:J30,"1/4")+0*COUNTIF(B28:J30,"0/5")</f>
        <v>0</v>
      </c>
      <c r="M28" s="116">
        <f>5*COUNTIF(B28:J30,"5/0")+4*COUNTIF(B28:J30,"4/1")+3*COUNTIF(B28:J30,"3/2")+5*COUNTIF(B28:J30,"5/-")+2*COUNTIF(B28:J30,"2/3")+1*COUNTIF(B28:J30,"1/4")+0*COUNTIF(B28:J30,"0/5")</f>
        <v>0</v>
      </c>
      <c r="N28" s="119">
        <f>0*COUNTIF(B28:J30,"5/0")+1*COUNTIF(B28:J30,"4/1")+2*COUNTIF(B28:J30,"3/2")+3*COUNTIF(B28:J30,"2/3")+4*COUNTIF(B28:J30,"1/4")+5*COUNTIF(B28:J30,"0/5")+5*COUNTIF(B28:J30,"-/5")</f>
        <v>0</v>
      </c>
      <c r="O28" s="133">
        <f>RANK(K28,K$4:K$30)</f>
        <v>1</v>
      </c>
      <c r="P28" s="10"/>
    </row>
    <row r="29" spans="1:20" ht="15" customHeight="1">
      <c r="A29" s="99"/>
      <c r="B29" s="105"/>
      <c r="C29" s="105"/>
      <c r="D29" s="105"/>
      <c r="E29" s="105"/>
      <c r="F29" s="105"/>
      <c r="G29" s="105"/>
      <c r="H29" s="105"/>
      <c r="I29" s="105"/>
      <c r="J29" s="102"/>
      <c r="K29" s="128"/>
      <c r="L29" s="131"/>
      <c r="M29" s="117"/>
      <c r="N29" s="120"/>
      <c r="O29" s="134"/>
      <c r="P29" s="2"/>
    </row>
    <row r="30" spans="1:20" ht="15" customHeight="1">
      <c r="A30" s="100"/>
      <c r="B30" s="106"/>
      <c r="C30" s="106"/>
      <c r="D30" s="106"/>
      <c r="E30" s="106"/>
      <c r="F30" s="106"/>
      <c r="G30" s="106"/>
      <c r="H30" s="106"/>
      <c r="I30" s="106"/>
      <c r="J30" s="103"/>
      <c r="K30" s="129"/>
      <c r="L30" s="132"/>
      <c r="M30" s="118"/>
      <c r="N30" s="121"/>
      <c r="O30" s="29">
        <f>IFERROR(K28/SUM(M28:N30),0)</f>
        <v>0</v>
      </c>
      <c r="P30" s="10"/>
    </row>
    <row r="31" spans="1:20">
      <c r="F31" s="4"/>
      <c r="G31" s="4"/>
      <c r="H31" s="4"/>
      <c r="I31" s="4"/>
      <c r="J31" s="4"/>
      <c r="K31" s="4"/>
      <c r="L31" s="4"/>
      <c r="M31" s="4"/>
      <c r="N31" s="4"/>
      <c r="O31" s="4"/>
      <c r="P31" s="4"/>
    </row>
    <row r="32" spans="1:20">
      <c r="C32" s="1"/>
      <c r="D32" s="1"/>
      <c r="E32" s="4"/>
      <c r="F32" s="4"/>
      <c r="G32" s="4"/>
      <c r="H32" s="4"/>
      <c r="I32" s="4"/>
      <c r="J32" s="4"/>
      <c r="K32" s="4"/>
      <c r="L32" s="4"/>
      <c r="M32" s="4"/>
      <c r="N32" s="4"/>
      <c r="O32" s="4"/>
      <c r="P32" s="4"/>
    </row>
    <row r="33" spans="6:16">
      <c r="F33" s="4"/>
      <c r="G33" s="4"/>
      <c r="H33" s="4"/>
      <c r="I33" s="4"/>
      <c r="J33" s="4"/>
      <c r="K33" s="4"/>
      <c r="L33" s="4"/>
      <c r="M33" s="4"/>
      <c r="N33" s="4"/>
      <c r="O33" s="4"/>
      <c r="P33" s="4"/>
    </row>
    <row r="34" spans="6:16">
      <c r="F34" s="4"/>
      <c r="G34" s="4"/>
      <c r="H34" s="4"/>
      <c r="I34" s="4"/>
      <c r="J34" s="4"/>
      <c r="K34" s="4"/>
      <c r="L34" s="4"/>
      <c r="M34" s="4"/>
      <c r="N34" s="4"/>
      <c r="O34" s="4"/>
      <c r="P34" s="4"/>
    </row>
    <row r="35" spans="6:16">
      <c r="P35" s="10"/>
    </row>
    <row r="36" spans="6:16">
      <c r="P36" s="10"/>
    </row>
    <row r="37" spans="6:16">
      <c r="P37" s="10"/>
    </row>
    <row r="38" spans="6:16">
      <c r="P38" s="10"/>
    </row>
    <row r="39" spans="6:16">
      <c r="P39" s="10"/>
    </row>
    <row r="40" spans="6:16">
      <c r="P40" s="10"/>
    </row>
  </sheetData>
  <mergeCells count="149">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 ref="E22:E24"/>
    <mergeCell ref="F22:F24"/>
    <mergeCell ref="A28:A30"/>
    <mergeCell ref="B28:B30"/>
    <mergeCell ref="C28:C30"/>
    <mergeCell ref="D28:D30"/>
    <mergeCell ref="E28:E30"/>
    <mergeCell ref="F28:F30"/>
    <mergeCell ref="G28:G30"/>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A7:A9"/>
    <mergeCell ref="B7:B9"/>
    <mergeCell ref="C7:C9"/>
    <mergeCell ref="D7:D9"/>
    <mergeCell ref="E7:E9"/>
    <mergeCell ref="F7:F9"/>
    <mergeCell ref="G7:G9"/>
    <mergeCell ref="H7:H9"/>
    <mergeCell ref="I7:I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s>
  <conditionalFormatting sqref="A4:A30">
    <cfRule type="cellIs" dxfId="7" priority="4" stopIfTrue="1" operator="equal">
      <formula>0</formula>
    </cfRule>
  </conditionalFormatting>
  <conditionalFormatting sqref="B4:J30">
    <cfRule type="cellIs" priority="2" operator="equal">
      <formula>""</formula>
    </cfRule>
    <cfRule type="expression" dxfId="6" priority="3" stopIfTrue="1">
      <formula>OFFSET($A$2,(COLUMN()-1)*3-1,(ROW()+2)/3-1,1,1)&lt;&gt;CONCATENATE(RIGHT(B4,1),MID(B4,2,1),LEFT(B4,1))</formula>
    </cfRule>
  </conditionalFormatting>
  <conditionalFormatting sqref="O7 O10 O13 O16 O19 O22 O25 O4 O28">
    <cfRule type="iconSet" priority="1">
      <iconSet iconSet="3Arrows" reverse="1">
        <cfvo type="percent" val="0"/>
        <cfvo type="num" val="2" gte="0"/>
        <cfvo type="num" val="MIN(($A$3-2),(MAX($O$4:$O$30)))"/>
      </iconSet>
    </cfRule>
  </conditionalFormatting>
  <dataValidations count="1">
    <dataValidation type="list" allowBlank="1" showInputMessage="1" showErrorMessage="1" sqref="B4:J30" xr:uid="{00000000-0002-0000-0A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84" orientation="landscape" r:id="rId1"/>
  <headerFooter>
    <oddHeader>&amp;C&amp;A</oddHeader>
    <oddFooter>&amp;LPrepared by City Squash Club&amp;C&amp;F&amp;R&amp;D</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T40"/>
  <sheetViews>
    <sheetView view="pageBreakPreview" zoomScale="90" zoomScaleNormal="100" zoomScaleSheetLayoutView="90" workbookViewId="0">
      <selection activeCell="B4" sqref="B4:B6"/>
    </sheetView>
  </sheetViews>
  <sheetFormatPr baseColWidth="10" defaultColWidth="8.83203125" defaultRowHeight="15"/>
  <cols>
    <col min="1" max="10" width="12.33203125" customWidth="1"/>
    <col min="11" max="11" width="10.6640625" customWidth="1"/>
    <col min="12" max="14" width="8.5" customWidth="1"/>
    <col min="15" max="15" width="10.6640625" customWidth="1"/>
    <col min="16" max="16" width="10" customWidth="1"/>
    <col min="17" max="17" width="10.6640625" style="4" customWidth="1"/>
  </cols>
  <sheetData>
    <row r="1" spans="1:18" ht="15.75" customHeight="1">
      <c r="A1" s="21"/>
      <c r="B1" s="98" t="e">
        <f t="shared" ref="B1:J1" ca="1" si="0">VLOOKUP(CONCATENATE(LEFT($A$2,1),COLUMN()-1),nevezettek,3,FALSE)</f>
        <v>#N/A</v>
      </c>
      <c r="C1" s="98" t="e">
        <f t="shared" ca="1" si="0"/>
        <v>#N/A</v>
      </c>
      <c r="D1" s="98" t="e">
        <f t="shared" ca="1" si="0"/>
        <v>#N/A</v>
      </c>
      <c r="E1" s="98" t="e">
        <f t="shared" ca="1" si="0"/>
        <v>#N/A</v>
      </c>
      <c r="F1" s="98" t="e">
        <f t="shared" ca="1" si="0"/>
        <v>#N/A</v>
      </c>
      <c r="G1" s="98" t="e">
        <f t="shared" ca="1" si="0"/>
        <v>#N/A</v>
      </c>
      <c r="H1" s="98" t="e">
        <f t="shared" ca="1" si="0"/>
        <v>#N/A</v>
      </c>
      <c r="I1" s="98" t="e">
        <f t="shared" ca="1" si="0"/>
        <v>#N/A</v>
      </c>
      <c r="J1" s="107" t="e">
        <f t="shared" ca="1" si="0"/>
        <v>#N/A</v>
      </c>
      <c r="K1" s="110" t="s">
        <v>31</v>
      </c>
      <c r="L1" s="113" t="s">
        <v>59</v>
      </c>
      <c r="M1" s="89" t="s">
        <v>58</v>
      </c>
      <c r="N1" s="92" t="s">
        <v>65</v>
      </c>
      <c r="O1" s="95" t="s">
        <v>167</v>
      </c>
      <c r="P1" s="4"/>
    </row>
    <row r="2" spans="1:18">
      <c r="A2" s="22" t="str">
        <f ca="1">RIGHT(CELL("filename",A1),6)</f>
        <v>s_liga</v>
      </c>
      <c r="B2" s="99"/>
      <c r="C2" s="99"/>
      <c r="D2" s="99"/>
      <c r="E2" s="99"/>
      <c r="F2" s="99"/>
      <c r="G2" s="99"/>
      <c r="H2" s="99"/>
      <c r="I2" s="99"/>
      <c r="J2" s="108"/>
      <c r="K2" s="111"/>
      <c r="L2" s="114"/>
      <c r="M2" s="90"/>
      <c r="N2" s="93"/>
      <c r="O2" s="96"/>
      <c r="P2" s="4"/>
    </row>
    <row r="3" spans="1:18">
      <c r="A3" s="23">
        <f ca="1">COUNTIF(Ligabeosztas!D:D,LEFT(A2,1))</f>
        <v>0</v>
      </c>
      <c r="B3" s="100"/>
      <c r="C3" s="100"/>
      <c r="D3" s="100"/>
      <c r="E3" s="100"/>
      <c r="F3" s="100"/>
      <c r="G3" s="100"/>
      <c r="H3" s="100"/>
      <c r="I3" s="100"/>
      <c r="J3" s="109"/>
      <c r="K3" s="112"/>
      <c r="L3" s="115"/>
      <c r="M3" s="91"/>
      <c r="N3" s="94"/>
      <c r="O3" s="97"/>
      <c r="P3" s="4"/>
      <c r="Q3" s="24"/>
    </row>
    <row r="4" spans="1:18" ht="15" customHeight="1">
      <c r="A4" s="98" t="e">
        <f ca="1">B1</f>
        <v>#N/A</v>
      </c>
      <c r="B4" s="101"/>
      <c r="C4" s="104"/>
      <c r="D4" s="104"/>
      <c r="E4" s="104"/>
      <c r="F4" s="104"/>
      <c r="G4" s="104"/>
      <c r="H4" s="104"/>
      <c r="I4" s="104"/>
      <c r="J4" s="124"/>
      <c r="K4" s="127">
        <f>5*(COUNTIF(B4:J6,"5/0")+COUNTIF(B4:J6,"4/1")+COUNTIF(B4:J6,"3/2")+COUNTIF(B4:J6,"5/-"))+3*COUNTIF(B4:J6,"2/3")+2*COUNTIF(B4:J6,"1/4")+COUNTIF(B4:J6,"0/5")+0.01*L4+0.0001*(M4)</f>
        <v>0</v>
      </c>
      <c r="L4" s="130">
        <f>1*COUNTIF(B4:J6,"5/0")+1*COUNTIF(B4:J6,"4/1")+1*COUNTIF(B4:J6,"3/2")+1*COUNTIF(B4:J6,"5/-")+0*COUNTIF(B4:J6,"2/3")+0*COUNTIF(B4:J6,"1/4")+0*COUNTIF(B4:J6,"0/5")</f>
        <v>0</v>
      </c>
      <c r="M4" s="116">
        <f>5*COUNTIF(B4:J6,"5/0")+4*COUNTIF(B4:J6,"4/1")+3*COUNTIF(B4:J6,"3/2")+5*COUNTIF(B4:J6,"5/-")+2*COUNTIF(B4:J6,"2/3")+1*COUNTIF(B4:J6,"1/4")+0*COUNTIF(B4:J6,"0/5")</f>
        <v>0</v>
      </c>
      <c r="N4" s="119">
        <f>0*COUNTIF(B4:J6,"5/0")+1*COUNTIF(B4:J6,"4/1")+2*COUNTIF(B4:J6,"3/2")+3*COUNTIF(B4:J6,"2/3")+4*COUNTIF(B4:J6,"1/4")+5*COUNTIF(B4:J6,"0/5")+5*COUNTIF(B4:J6,"-/5")</f>
        <v>0</v>
      </c>
      <c r="O4" s="133">
        <f>RANK(K4,K$4:K$30)</f>
        <v>1</v>
      </c>
      <c r="P4" s="9"/>
    </row>
    <row r="5" spans="1:18">
      <c r="A5" s="99"/>
      <c r="B5" s="102"/>
      <c r="C5" s="105"/>
      <c r="D5" s="105"/>
      <c r="E5" s="105"/>
      <c r="F5" s="105"/>
      <c r="G5" s="105"/>
      <c r="H5" s="105"/>
      <c r="I5" s="105"/>
      <c r="J5" s="125"/>
      <c r="K5" s="128"/>
      <c r="L5" s="131"/>
      <c r="M5" s="117"/>
      <c r="N5" s="120"/>
      <c r="O5" s="134"/>
      <c r="P5" s="4"/>
    </row>
    <row r="6" spans="1:18">
      <c r="A6" s="100"/>
      <c r="B6" s="103"/>
      <c r="C6" s="106"/>
      <c r="D6" s="106"/>
      <c r="E6" s="106"/>
      <c r="F6" s="106"/>
      <c r="G6" s="106"/>
      <c r="H6" s="106"/>
      <c r="I6" s="106"/>
      <c r="J6" s="126"/>
      <c r="K6" s="129"/>
      <c r="L6" s="132"/>
      <c r="M6" s="118"/>
      <c r="N6" s="121"/>
      <c r="O6" s="29">
        <f>IFERROR(K4/SUM(M4:N6),0)</f>
        <v>0</v>
      </c>
      <c r="P6" s="10"/>
    </row>
    <row r="7" spans="1:18">
      <c r="A7" s="98" t="e">
        <f ca="1">C1</f>
        <v>#N/A</v>
      </c>
      <c r="B7" s="104"/>
      <c r="C7" s="101"/>
      <c r="D7" s="104"/>
      <c r="E7" s="104"/>
      <c r="F7" s="104"/>
      <c r="G7" s="104"/>
      <c r="H7" s="104"/>
      <c r="I7" s="104"/>
      <c r="J7" s="124"/>
      <c r="K7" s="127">
        <f t="shared" ref="K7" si="1">5*(COUNTIF(B7:J9,"5/0")+COUNTIF(B7:J9,"4/1")+COUNTIF(B7:J9,"3/2")+COUNTIF(B7:J9,"5/-"))+3*COUNTIF(B7:J9,"2/3")+2*COUNTIF(B7:J9,"1/4")+COUNTIF(B7:J9,"0/5")+0.01*L7+0.0001*(M7)</f>
        <v>0</v>
      </c>
      <c r="L7" s="130">
        <f>1*COUNTIF(B7:J9,"5/0")+1*COUNTIF(B7:J9,"4/1")+1*COUNTIF(B7:J9,"3/2")+1*COUNTIF(B7:J9,"5/-")+0*COUNTIF(B7:J9,"2/3")+0*COUNTIF(B7:J9,"1/4")+0*COUNTIF(B7:J9,"0/5")</f>
        <v>0</v>
      </c>
      <c r="M7" s="116">
        <f>5*COUNTIF(B7:J9,"5/0")+4*COUNTIF(B7:J9,"4/1")+3*COUNTIF(B7:J9,"3/2")+5*COUNTIF(B7:J9,"5/-")+2*COUNTIF(B7:J9,"2/3")+1*COUNTIF(B7:J9,"1/4")+0*COUNTIF(B7:J9,"0/5")</f>
        <v>0</v>
      </c>
      <c r="N7" s="119">
        <f>0*COUNTIF(B7:J9,"5/0")+1*COUNTIF(B7:J9,"4/1")+2*COUNTIF(B7:J9,"3/2")+3*COUNTIF(B7:J9,"2/3")+4*COUNTIF(B7:J9,"1/4")+5*COUNTIF(B7:J9,"0/5")+5*COUNTIF(B7:J9,"-/5")</f>
        <v>0</v>
      </c>
      <c r="O7" s="133">
        <f>RANK(K7,K$4:K$30)</f>
        <v>1</v>
      </c>
      <c r="P7" s="10"/>
      <c r="R7" s="5"/>
    </row>
    <row r="8" spans="1:18">
      <c r="A8" s="99"/>
      <c r="B8" s="105"/>
      <c r="C8" s="102"/>
      <c r="D8" s="105"/>
      <c r="E8" s="105"/>
      <c r="F8" s="105"/>
      <c r="G8" s="105"/>
      <c r="H8" s="105"/>
      <c r="I8" s="105"/>
      <c r="J8" s="125"/>
      <c r="K8" s="128"/>
      <c r="L8" s="131"/>
      <c r="M8" s="117"/>
      <c r="N8" s="120"/>
      <c r="O8" s="134"/>
      <c r="P8" s="2"/>
      <c r="R8" s="5"/>
    </row>
    <row r="9" spans="1:18">
      <c r="A9" s="100"/>
      <c r="B9" s="106"/>
      <c r="C9" s="103"/>
      <c r="D9" s="106"/>
      <c r="E9" s="106"/>
      <c r="F9" s="106"/>
      <c r="G9" s="106"/>
      <c r="H9" s="106"/>
      <c r="I9" s="106"/>
      <c r="J9" s="126"/>
      <c r="K9" s="129"/>
      <c r="L9" s="132"/>
      <c r="M9" s="118"/>
      <c r="N9" s="121"/>
      <c r="O9" s="29">
        <f>IFERROR(K7/SUM(M7:N9),0)</f>
        <v>0</v>
      </c>
      <c r="P9" s="10"/>
      <c r="R9" s="8"/>
    </row>
    <row r="10" spans="1:18">
      <c r="A10" s="98" t="e">
        <f ca="1">D1</f>
        <v>#N/A</v>
      </c>
      <c r="B10" s="104"/>
      <c r="C10" s="104"/>
      <c r="D10" s="101"/>
      <c r="E10" s="104"/>
      <c r="F10" s="104"/>
      <c r="G10" s="104"/>
      <c r="H10" s="104"/>
      <c r="I10" s="104"/>
      <c r="J10" s="124"/>
      <c r="K10" s="127">
        <f t="shared" ref="K10" si="2">5*(COUNTIF(B10:J12,"5/0")+COUNTIF(B10:J12,"4/1")+COUNTIF(B10:J12,"3/2")+COUNTIF(B10:J12,"5/-"))+3*COUNTIF(B10:J12,"2/3")+2*COUNTIF(B10:J12,"1/4")+COUNTIF(B10:J12,"0/5")+0.01*L10+0.0001*(M10)</f>
        <v>0</v>
      </c>
      <c r="L10" s="130">
        <f>1*COUNTIF(B10:J12,"5/0")+1*COUNTIF(B10:J12,"4/1")+1*COUNTIF(B10:J12,"3/2")+1*COUNTIF(B10:J12,"5/-")+0*COUNTIF(B10:J12,"2/3")+0*COUNTIF(B10:J12,"1/4")+0*COUNTIF(B10:J12,"0/5")</f>
        <v>0</v>
      </c>
      <c r="M10" s="116">
        <f>5*COUNTIF(B10:J12,"5/0")+4*COUNTIF(B10:J12,"4/1")+3*COUNTIF(B10:J12,"3/2")+5*COUNTIF(B10:J12,"5/-")+2*COUNTIF(B10:J12,"2/3")+1*COUNTIF(B10:J12,"1/4")+0*COUNTIF(B10:J12,"0/5")</f>
        <v>0</v>
      </c>
      <c r="N10" s="119">
        <f>0*COUNTIF(B10:J12,"5/0")+1*COUNTIF(B10:J12,"4/1")+2*COUNTIF(B10:J12,"3/2")+3*COUNTIF(B10:J12,"2/3")+4*COUNTIF(B10:J12,"1/4")+5*COUNTIF(B10:J12,"0/5")+5*COUNTIF(B10:J12,"-/5")</f>
        <v>0</v>
      </c>
      <c r="O10" s="133">
        <f>RANK(K10,K$4:K$30)</f>
        <v>1</v>
      </c>
      <c r="P10" s="10"/>
    </row>
    <row r="11" spans="1:18">
      <c r="A11" s="99"/>
      <c r="B11" s="105"/>
      <c r="C11" s="105"/>
      <c r="D11" s="102"/>
      <c r="E11" s="105"/>
      <c r="F11" s="105"/>
      <c r="G11" s="105"/>
      <c r="H11" s="105"/>
      <c r="I11" s="105"/>
      <c r="J11" s="125"/>
      <c r="K11" s="128"/>
      <c r="L11" s="131"/>
      <c r="M11" s="117"/>
      <c r="N11" s="120"/>
      <c r="O11" s="134"/>
      <c r="P11" s="1"/>
      <c r="R11" s="6"/>
    </row>
    <row r="12" spans="1:18">
      <c r="A12" s="100"/>
      <c r="B12" s="106"/>
      <c r="C12" s="106"/>
      <c r="D12" s="103"/>
      <c r="E12" s="106"/>
      <c r="F12" s="106"/>
      <c r="G12" s="106"/>
      <c r="H12" s="106"/>
      <c r="I12" s="106"/>
      <c r="J12" s="126"/>
      <c r="K12" s="129"/>
      <c r="L12" s="132"/>
      <c r="M12" s="118"/>
      <c r="N12" s="121"/>
      <c r="O12" s="29">
        <f>IFERROR(K10/SUM(M10:N12),0)</f>
        <v>0</v>
      </c>
      <c r="P12" s="10"/>
    </row>
    <row r="13" spans="1:18">
      <c r="A13" s="98" t="e">
        <f ca="1">E1</f>
        <v>#N/A</v>
      </c>
      <c r="B13" s="104"/>
      <c r="C13" s="104"/>
      <c r="D13" s="104"/>
      <c r="E13" s="101"/>
      <c r="F13" s="104"/>
      <c r="G13" s="104"/>
      <c r="H13" s="104"/>
      <c r="I13" s="104"/>
      <c r="J13" s="124"/>
      <c r="K13" s="127">
        <f t="shared" ref="K13" si="3">5*(COUNTIF(B13:J15,"5/0")+COUNTIF(B13:J15,"4/1")+COUNTIF(B13:J15,"3/2")+COUNTIF(B13:J15,"5/-"))+3*COUNTIF(B13:J15,"2/3")+2*COUNTIF(B13:J15,"1/4")+COUNTIF(B13:J15,"0/5")+0.01*L13+0.0001*(M13)</f>
        <v>0</v>
      </c>
      <c r="L13" s="130">
        <f>1*COUNTIF(B13:J15,"5/0")+1*COUNTIF(B13:J15,"4/1")+1*COUNTIF(B13:J15,"3/2")+1*COUNTIF(B13:J15,"5/-")+0*COUNTIF(B13:J15,"2/3")+0*COUNTIF(B13:J15,"1/4")+0*COUNTIF(B13:J15,"0/5")</f>
        <v>0</v>
      </c>
      <c r="M13" s="116">
        <f>5*COUNTIF(B13:J15,"5/0")+4*COUNTIF(B13:J15,"4/1")+3*COUNTIF(B13:J15,"3/2")+5*COUNTIF(B13:J15,"5/-")+2*COUNTIF(B13:J15,"2/3")+1*COUNTIF(B13:J15,"1/4")+0*COUNTIF(B13:J15,"0/5")</f>
        <v>0</v>
      </c>
      <c r="N13" s="119">
        <f>0*COUNTIF(B13:J15,"5/0")+1*COUNTIF(B13:J15,"4/1")+2*COUNTIF(B13:J15,"3/2")+3*COUNTIF(B13:J15,"2/3")+4*COUNTIF(B13:J15,"1/4")+5*COUNTIF(B13:J15,"0/5")+5*COUNTIF(B13:J15,"-/5")</f>
        <v>0</v>
      </c>
      <c r="O13" s="133">
        <f>RANK(K13,K$4:K$30)</f>
        <v>1</v>
      </c>
      <c r="P13" s="10"/>
    </row>
    <row r="14" spans="1:18">
      <c r="A14" s="99"/>
      <c r="B14" s="105"/>
      <c r="C14" s="105"/>
      <c r="D14" s="105"/>
      <c r="E14" s="102"/>
      <c r="F14" s="105"/>
      <c r="G14" s="105"/>
      <c r="H14" s="105"/>
      <c r="I14" s="105"/>
      <c r="J14" s="125"/>
      <c r="K14" s="128"/>
      <c r="L14" s="131"/>
      <c r="M14" s="117"/>
      <c r="N14" s="120"/>
      <c r="O14" s="134"/>
      <c r="P14" s="4"/>
      <c r="R14" s="6"/>
    </row>
    <row r="15" spans="1:18">
      <c r="A15" s="100"/>
      <c r="B15" s="106"/>
      <c r="C15" s="106"/>
      <c r="D15" s="106"/>
      <c r="E15" s="103"/>
      <c r="F15" s="106"/>
      <c r="G15" s="106"/>
      <c r="H15" s="106"/>
      <c r="I15" s="106"/>
      <c r="J15" s="126"/>
      <c r="K15" s="129"/>
      <c r="L15" s="132"/>
      <c r="M15" s="118"/>
      <c r="N15" s="121"/>
      <c r="O15" s="29">
        <f>IFERROR(K13/SUM(M13:N15),0)</f>
        <v>0</v>
      </c>
      <c r="P15" s="10"/>
    </row>
    <row r="16" spans="1:18">
      <c r="A16" s="98" t="e">
        <f ca="1">F1</f>
        <v>#N/A</v>
      </c>
      <c r="B16" s="104"/>
      <c r="C16" s="104"/>
      <c r="D16" s="104"/>
      <c r="E16" s="104"/>
      <c r="F16" s="101"/>
      <c r="G16" s="104"/>
      <c r="H16" s="104"/>
      <c r="I16" s="104"/>
      <c r="J16" s="124"/>
      <c r="K16" s="127">
        <f t="shared" ref="K16" si="4">5*(COUNTIF(B16:J18,"5/0")+COUNTIF(B16:J18,"4/1")+COUNTIF(B16:J18,"3/2")+COUNTIF(B16:J18,"5/-"))+3*COUNTIF(B16:J18,"2/3")+2*COUNTIF(B16:J18,"1/4")+COUNTIF(B16:J18,"0/5")+0.01*L16+0.0001*(M16)</f>
        <v>0</v>
      </c>
      <c r="L16" s="130">
        <f>1*COUNTIF(B16:J18,"5/0")+1*COUNTIF(B16:J18,"4/1")+1*COUNTIF(B16:J18,"3/2")+1*COUNTIF(B16:J18,"5/-")+0*COUNTIF(B16:J18,"2/3")+0*COUNTIF(B16:J18,"1/4")+0*COUNTIF(B16:J18,"0/5")</f>
        <v>0</v>
      </c>
      <c r="M16" s="116">
        <f>5*COUNTIF(B16:J18,"5/0")+4*COUNTIF(B16:J18,"4/1")+3*COUNTIF(B16:J18,"3/2")+5*COUNTIF(B16:J18,"5/-")+2*COUNTIF(B16:J18,"2/3")+1*COUNTIF(B16:J18,"1/4")+0*COUNTIF(B16:J18,"0/5")</f>
        <v>0</v>
      </c>
      <c r="N16" s="119">
        <f>0*COUNTIF(B16:J18,"5/0")+1*COUNTIF(B16:J18,"4/1")+2*COUNTIF(B16:J18,"3/2")+3*COUNTIF(B16:J18,"2/3")+4*COUNTIF(B16:J18,"1/4")+5*COUNTIF(B16:J18,"0/5")+5*COUNTIF(B16:J18,"-/5")</f>
        <v>0</v>
      </c>
      <c r="O16" s="133">
        <f>RANK(K16,K$4:K$30)</f>
        <v>1</v>
      </c>
      <c r="P16" s="10"/>
    </row>
    <row r="17" spans="1:20">
      <c r="A17" s="99"/>
      <c r="B17" s="105"/>
      <c r="C17" s="105"/>
      <c r="D17" s="105"/>
      <c r="E17" s="105"/>
      <c r="F17" s="102"/>
      <c r="G17" s="105"/>
      <c r="H17" s="105"/>
      <c r="I17" s="105"/>
      <c r="J17" s="125"/>
      <c r="K17" s="128"/>
      <c r="L17" s="131"/>
      <c r="M17" s="117"/>
      <c r="N17" s="120"/>
      <c r="O17" s="134"/>
      <c r="P17" s="4"/>
    </row>
    <row r="18" spans="1:20">
      <c r="A18" s="100"/>
      <c r="B18" s="106"/>
      <c r="C18" s="106"/>
      <c r="D18" s="106"/>
      <c r="E18" s="106"/>
      <c r="F18" s="103"/>
      <c r="G18" s="106"/>
      <c r="H18" s="106"/>
      <c r="I18" s="106"/>
      <c r="J18" s="126"/>
      <c r="K18" s="129"/>
      <c r="L18" s="132"/>
      <c r="M18" s="118"/>
      <c r="N18" s="121"/>
      <c r="O18" s="29">
        <f>IFERROR(K16/SUM(M16:N18),0)</f>
        <v>0</v>
      </c>
      <c r="P18" s="10"/>
    </row>
    <row r="19" spans="1:20">
      <c r="A19" s="98" t="e">
        <f ca="1">G1</f>
        <v>#N/A</v>
      </c>
      <c r="B19" s="104"/>
      <c r="C19" s="104"/>
      <c r="D19" s="104"/>
      <c r="E19" s="104"/>
      <c r="F19" s="104"/>
      <c r="G19" s="101"/>
      <c r="H19" s="104"/>
      <c r="I19" s="104"/>
      <c r="J19" s="124"/>
      <c r="K19" s="127">
        <f t="shared" ref="K19" si="5">5*(COUNTIF(B19:J21,"5/0")+COUNTIF(B19:J21,"4/1")+COUNTIF(B19:J21,"3/2")+COUNTIF(B19:J21,"5/-"))+3*COUNTIF(B19:J21,"2/3")+2*COUNTIF(B19:J21,"1/4")+COUNTIF(B19:J21,"0/5")+0.01*L19+0.0001*(M19)</f>
        <v>0</v>
      </c>
      <c r="L19" s="130">
        <f>1*COUNTIF(B19:J21,"5/0")+1*COUNTIF(B19:J21,"4/1")+1*COUNTIF(B19:J21,"3/2")+1*COUNTIF(B19:J21,"5/-")+0*COUNTIF(B19:J21,"2/3")+0*COUNTIF(B19:J21,"1/4")+0*COUNTIF(B19:J21,"0/5")</f>
        <v>0</v>
      </c>
      <c r="M19" s="116">
        <f>5*COUNTIF(B19:J21,"5/0")+4*COUNTIF(B19:J21,"4/1")+3*COUNTIF(B19:J21,"3/2")+5*COUNTIF(B19:J21,"5/-")+2*COUNTIF(B19:J21,"2/3")+1*COUNTIF(B19:J21,"1/4")+0*COUNTIF(B19:J21,"0/5")</f>
        <v>0</v>
      </c>
      <c r="N19" s="119">
        <f>0*COUNTIF(B19:J21,"5/0")+1*COUNTIF(B19:J21,"4/1")+2*COUNTIF(B19:J21,"3/2")+3*COUNTIF(B19:J21,"2/3")+4*COUNTIF(B19:J21,"1/4")+5*COUNTIF(B19:J21,"0/5")+5*COUNTIF(B19:J21,"-/5")</f>
        <v>0</v>
      </c>
      <c r="O19" s="133">
        <f>RANK(K19,K$4:K$30)</f>
        <v>1</v>
      </c>
      <c r="P19" s="10"/>
      <c r="R19" s="5"/>
    </row>
    <row r="20" spans="1:20">
      <c r="A20" s="99"/>
      <c r="B20" s="105"/>
      <c r="C20" s="105"/>
      <c r="D20" s="105"/>
      <c r="E20" s="105"/>
      <c r="F20" s="105"/>
      <c r="G20" s="102"/>
      <c r="H20" s="105"/>
      <c r="I20" s="105"/>
      <c r="J20" s="125"/>
      <c r="K20" s="128"/>
      <c r="L20" s="131"/>
      <c r="M20" s="117"/>
      <c r="N20" s="120"/>
      <c r="O20" s="134"/>
      <c r="P20" s="1"/>
      <c r="R20" s="5"/>
    </row>
    <row r="21" spans="1:20">
      <c r="A21" s="100"/>
      <c r="B21" s="106"/>
      <c r="C21" s="106"/>
      <c r="D21" s="106"/>
      <c r="E21" s="106"/>
      <c r="F21" s="106"/>
      <c r="G21" s="103"/>
      <c r="H21" s="106"/>
      <c r="I21" s="106"/>
      <c r="J21" s="126"/>
      <c r="K21" s="129"/>
      <c r="L21" s="132"/>
      <c r="M21" s="118"/>
      <c r="N21" s="121"/>
      <c r="O21" s="29">
        <f>IFERROR(K19/SUM(M19:N21),0)</f>
        <v>0</v>
      </c>
      <c r="P21" s="10"/>
    </row>
    <row r="22" spans="1:20">
      <c r="A22" s="98" t="e">
        <f ca="1">H1</f>
        <v>#N/A</v>
      </c>
      <c r="B22" s="104"/>
      <c r="C22" s="104"/>
      <c r="D22" s="104"/>
      <c r="E22" s="104"/>
      <c r="F22" s="104"/>
      <c r="G22" s="104"/>
      <c r="H22" s="101"/>
      <c r="I22" s="104"/>
      <c r="J22" s="124"/>
      <c r="K22" s="127">
        <f t="shared" ref="K22" si="6">5*(COUNTIF(B22:J24,"5/0")+COUNTIF(B22:J24,"4/1")+COUNTIF(B22:J24,"3/2")+COUNTIF(B22:J24,"5/-"))+3*COUNTIF(B22:J24,"2/3")+2*COUNTIF(B22:J24,"1/4")+COUNTIF(B22:J24,"0/5")+0.01*L22+0.0001*(M22)</f>
        <v>0</v>
      </c>
      <c r="L22" s="130">
        <f>1*COUNTIF(B22:J24,"5/0")+1*COUNTIF(B22:J24,"4/1")+1*COUNTIF(B22:J24,"3/2")+1*COUNTIF(B22:J24,"5/-")+0*COUNTIF(B22:J24,"2/3")+0*COUNTIF(B22:J24,"1/4")+0*COUNTIF(B22:J24,"0/5")</f>
        <v>0</v>
      </c>
      <c r="M22" s="116">
        <f>5*COUNTIF(B22:J24,"5/0")+4*COUNTIF(B22:J24,"4/1")+3*COUNTIF(B22:J24,"3/2")+5*COUNTIF(B22:J24,"5/-")+2*COUNTIF(B22:J24,"2/3")+1*COUNTIF(B22:J24,"1/4")+0*COUNTIF(B22:J24,"0/5")</f>
        <v>0</v>
      </c>
      <c r="N22" s="119">
        <f>0*COUNTIF(B22:J24,"5/0")+1*COUNTIF(B22:J24,"4/1")+2*COUNTIF(B22:J24,"3/2")+3*COUNTIF(B22:J24,"2/3")+4*COUNTIF(B22:J24,"1/4")+5*COUNTIF(B22:J24,"0/5")+5*COUNTIF(B22:J24,"-/5")</f>
        <v>0</v>
      </c>
      <c r="O22" s="133">
        <f>RANK(K22,K$4:K$30)</f>
        <v>1</v>
      </c>
      <c r="P22" s="10"/>
    </row>
    <row r="23" spans="1:20">
      <c r="A23" s="99"/>
      <c r="B23" s="105"/>
      <c r="C23" s="105"/>
      <c r="D23" s="105"/>
      <c r="E23" s="105"/>
      <c r="F23" s="105"/>
      <c r="G23" s="105"/>
      <c r="H23" s="102"/>
      <c r="I23" s="105"/>
      <c r="J23" s="125"/>
      <c r="K23" s="128"/>
      <c r="L23" s="131"/>
      <c r="M23" s="117"/>
      <c r="N23" s="120"/>
      <c r="O23" s="134"/>
      <c r="P23" s="1"/>
      <c r="R23" s="7"/>
      <c r="T23" s="3"/>
    </row>
    <row r="24" spans="1:20">
      <c r="A24" s="100"/>
      <c r="B24" s="106"/>
      <c r="C24" s="106"/>
      <c r="D24" s="106"/>
      <c r="E24" s="106"/>
      <c r="F24" s="106"/>
      <c r="G24" s="106"/>
      <c r="H24" s="103"/>
      <c r="I24" s="106"/>
      <c r="J24" s="126"/>
      <c r="K24" s="129"/>
      <c r="L24" s="132"/>
      <c r="M24" s="118"/>
      <c r="N24" s="121"/>
      <c r="O24" s="29">
        <f>IFERROR(K22/SUM(M22:N24),0)</f>
        <v>0</v>
      </c>
      <c r="P24" s="10"/>
    </row>
    <row r="25" spans="1:20">
      <c r="A25" s="98" t="e">
        <f ca="1">I1</f>
        <v>#N/A</v>
      </c>
      <c r="B25" s="104"/>
      <c r="C25" s="104"/>
      <c r="D25" s="104"/>
      <c r="E25" s="104"/>
      <c r="F25" s="104"/>
      <c r="G25" s="104"/>
      <c r="H25" s="104"/>
      <c r="I25" s="101"/>
      <c r="J25" s="124"/>
      <c r="K25" s="127">
        <f t="shared" ref="K25" si="7">5*(COUNTIF(B25:J27,"5/0")+COUNTIF(B25:J27,"4/1")+COUNTIF(B25:J27,"3/2")+COUNTIF(B25:J27,"5/-"))+3*COUNTIF(B25:J27,"2/3")+2*COUNTIF(B25:J27,"1/4")+COUNTIF(B25:J27,"0/5")+0.01*L25+0.0001*(M25)</f>
        <v>0</v>
      </c>
      <c r="L25" s="130">
        <f>1*COUNTIF(B25:J27,"5/0")+1*COUNTIF(B25:J27,"4/1")+1*COUNTIF(B25:J27,"3/2")+1*COUNTIF(B25:J27,"5/-")+0*COUNTIF(B25:J27,"2/3")+0*COUNTIF(B25:J27,"1/4")+0*COUNTIF(B25:J27,"0/5")</f>
        <v>0</v>
      </c>
      <c r="M25" s="116">
        <f>5*COUNTIF(B25:J27,"5/0")+4*COUNTIF(B25:J27,"4/1")+3*COUNTIF(B25:J27,"3/2")+5*COUNTIF(B25:J27,"5/-")+2*COUNTIF(B25:J27,"2/3")+1*COUNTIF(B25:J27,"1/4")+0*COUNTIF(B25:J27,"0/5")</f>
        <v>0</v>
      </c>
      <c r="N25" s="119">
        <f>0*COUNTIF(B25:J27,"5/0")+1*COUNTIF(B25:J27,"4/1")+2*COUNTIF(B25:J27,"3/2")+3*COUNTIF(B25:J27,"2/3")+4*COUNTIF(B25:J27,"1/4")+5*COUNTIF(B25:J27,"0/5")+5*COUNTIF(B25:J27,"-/5")</f>
        <v>0</v>
      </c>
      <c r="O25" s="133">
        <f>RANK(K25,K$4:K$30)</f>
        <v>1</v>
      </c>
      <c r="P25" s="10"/>
    </row>
    <row r="26" spans="1:20">
      <c r="A26" s="99"/>
      <c r="B26" s="105"/>
      <c r="C26" s="105"/>
      <c r="D26" s="105"/>
      <c r="E26" s="105"/>
      <c r="F26" s="105"/>
      <c r="G26" s="105"/>
      <c r="H26" s="105"/>
      <c r="I26" s="102"/>
      <c r="J26" s="125"/>
      <c r="K26" s="128"/>
      <c r="L26" s="131"/>
      <c r="M26" s="117"/>
      <c r="N26" s="120"/>
      <c r="O26" s="134"/>
      <c r="P26" s="2"/>
    </row>
    <row r="27" spans="1:20">
      <c r="A27" s="100"/>
      <c r="B27" s="106"/>
      <c r="C27" s="106"/>
      <c r="D27" s="106"/>
      <c r="E27" s="106"/>
      <c r="F27" s="106"/>
      <c r="G27" s="106"/>
      <c r="H27" s="106"/>
      <c r="I27" s="103"/>
      <c r="J27" s="126"/>
      <c r="K27" s="129"/>
      <c r="L27" s="132"/>
      <c r="M27" s="118"/>
      <c r="N27" s="121"/>
      <c r="O27" s="29">
        <f>IFERROR(K25/SUM(M25:N27),0)</f>
        <v>0</v>
      </c>
      <c r="P27" s="10"/>
    </row>
    <row r="28" spans="1:20" ht="15" customHeight="1">
      <c r="A28" s="98" t="e">
        <f ca="1">J1</f>
        <v>#N/A</v>
      </c>
      <c r="B28" s="104"/>
      <c r="C28" s="104"/>
      <c r="D28" s="104"/>
      <c r="E28" s="104"/>
      <c r="F28" s="104"/>
      <c r="G28" s="104"/>
      <c r="H28" s="104"/>
      <c r="I28" s="104"/>
      <c r="J28" s="101"/>
      <c r="K28" s="127">
        <f t="shared" ref="K28" si="8">5*(COUNTIF(B28:J30,"5/0")+COUNTIF(B28:J30,"4/1")+COUNTIF(B28:J30,"3/2")+COUNTIF(B28:J30,"5/-"))+3*COUNTIF(B28:J30,"2/3")+2*COUNTIF(B28:J30,"1/4")+COUNTIF(B28:J30,"0/5")+0.01*L28+0.0001*(M28)</f>
        <v>0</v>
      </c>
      <c r="L28" s="130">
        <f>1*COUNTIF(B28:J30,"5/0")+1*COUNTIF(B28:J30,"4/1")+1*COUNTIF(B28:J30,"3/2")+1*COUNTIF(B28:J30,"5/-")+0*COUNTIF(B28:J30,"2/3")+0*COUNTIF(B28:J30,"1/4")+0*COUNTIF(B28:J30,"0/5")</f>
        <v>0</v>
      </c>
      <c r="M28" s="116">
        <f>5*COUNTIF(B28:J30,"5/0")+4*COUNTIF(B28:J30,"4/1")+3*COUNTIF(B28:J30,"3/2")+5*COUNTIF(B28:J30,"5/-")+2*COUNTIF(B28:J30,"2/3")+1*COUNTIF(B28:J30,"1/4")+0*COUNTIF(B28:J30,"0/5")</f>
        <v>0</v>
      </c>
      <c r="N28" s="119">
        <f>0*COUNTIF(B28:J30,"5/0")+1*COUNTIF(B28:J30,"4/1")+2*COUNTIF(B28:J30,"3/2")+3*COUNTIF(B28:J30,"2/3")+4*COUNTIF(B28:J30,"1/4")+5*COUNTIF(B28:J30,"0/5")+5*COUNTIF(B28:J30,"-/5")</f>
        <v>0</v>
      </c>
      <c r="O28" s="133">
        <f>RANK(K28,K$4:K$30)</f>
        <v>1</v>
      </c>
      <c r="P28" s="10"/>
    </row>
    <row r="29" spans="1:20" ht="15" customHeight="1">
      <c r="A29" s="99"/>
      <c r="B29" s="105"/>
      <c r="C29" s="105"/>
      <c r="D29" s="105"/>
      <c r="E29" s="105"/>
      <c r="F29" s="105"/>
      <c r="G29" s="105"/>
      <c r="H29" s="105"/>
      <c r="I29" s="105"/>
      <c r="J29" s="102"/>
      <c r="K29" s="128"/>
      <c r="L29" s="131"/>
      <c r="M29" s="117"/>
      <c r="N29" s="120"/>
      <c r="O29" s="134"/>
      <c r="P29" s="2"/>
    </row>
    <row r="30" spans="1:20" ht="15" customHeight="1">
      <c r="A30" s="100"/>
      <c r="B30" s="106"/>
      <c r="C30" s="106"/>
      <c r="D30" s="106"/>
      <c r="E30" s="106"/>
      <c r="F30" s="106"/>
      <c r="G30" s="106"/>
      <c r="H30" s="106"/>
      <c r="I30" s="106"/>
      <c r="J30" s="103"/>
      <c r="K30" s="129"/>
      <c r="L30" s="132"/>
      <c r="M30" s="118"/>
      <c r="N30" s="121"/>
      <c r="O30" s="29">
        <f>IFERROR(K28/SUM(M28:N30),0)</f>
        <v>0</v>
      </c>
      <c r="P30" s="10"/>
    </row>
    <row r="31" spans="1:20">
      <c r="F31" s="4"/>
      <c r="G31" s="4"/>
      <c r="H31" s="4"/>
      <c r="I31" s="4"/>
      <c r="J31" s="4"/>
      <c r="K31" s="4"/>
      <c r="L31" s="4"/>
      <c r="M31" s="4"/>
      <c r="N31" s="4"/>
      <c r="O31" s="4"/>
      <c r="P31" s="4"/>
    </row>
    <row r="32" spans="1:20">
      <c r="C32" s="1"/>
      <c r="D32" s="1"/>
      <c r="E32" s="4"/>
      <c r="F32" s="4"/>
      <c r="G32" s="4"/>
      <c r="H32" s="4"/>
      <c r="I32" s="4"/>
      <c r="J32" s="4"/>
      <c r="K32" s="4"/>
      <c r="L32" s="4"/>
      <c r="M32" s="4"/>
      <c r="N32" s="4"/>
      <c r="O32" s="4"/>
      <c r="P32" s="4"/>
    </row>
    <row r="33" spans="6:16">
      <c r="F33" s="4"/>
      <c r="G33" s="4"/>
      <c r="H33" s="4"/>
      <c r="I33" s="4"/>
      <c r="J33" s="4"/>
      <c r="K33" s="4"/>
      <c r="L33" s="4"/>
      <c r="M33" s="4"/>
      <c r="N33" s="4"/>
      <c r="O33" s="4"/>
      <c r="P33" s="4"/>
    </row>
    <row r="34" spans="6:16">
      <c r="F34" s="4"/>
      <c r="G34" s="4"/>
      <c r="H34" s="4"/>
      <c r="I34" s="4"/>
      <c r="J34" s="4"/>
      <c r="K34" s="4"/>
      <c r="L34" s="4"/>
      <c r="M34" s="4"/>
      <c r="N34" s="4"/>
      <c r="O34" s="4"/>
      <c r="P34" s="4"/>
    </row>
    <row r="35" spans="6:16">
      <c r="P35" s="10"/>
    </row>
    <row r="36" spans="6:16">
      <c r="P36" s="10"/>
    </row>
    <row r="37" spans="6:16">
      <c r="P37" s="10"/>
    </row>
    <row r="38" spans="6:16">
      <c r="P38" s="10"/>
    </row>
    <row r="39" spans="6:16">
      <c r="P39" s="10"/>
    </row>
    <row r="40" spans="6:16">
      <c r="P40" s="10"/>
    </row>
  </sheetData>
  <mergeCells count="14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 ref="A7:A9"/>
    <mergeCell ref="B7:B9"/>
    <mergeCell ref="C7:C9"/>
    <mergeCell ref="D7:D9"/>
    <mergeCell ref="E7:E9"/>
    <mergeCell ref="F7:F9"/>
    <mergeCell ref="G7:G9"/>
    <mergeCell ref="H7:H9"/>
    <mergeCell ref="I7:I9"/>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E22:E24"/>
    <mergeCell ref="F22:F24"/>
    <mergeCell ref="A28:A30"/>
    <mergeCell ref="B28:B30"/>
    <mergeCell ref="C28:C30"/>
    <mergeCell ref="D28:D30"/>
    <mergeCell ref="E28:E30"/>
    <mergeCell ref="F28:F30"/>
    <mergeCell ref="G28:G30"/>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s>
  <conditionalFormatting sqref="A4:A30">
    <cfRule type="cellIs" dxfId="5" priority="5" stopIfTrue="1" operator="equal">
      <formula>0</formula>
    </cfRule>
  </conditionalFormatting>
  <conditionalFormatting sqref="B4:J30">
    <cfRule type="cellIs" priority="3" operator="equal">
      <formula>""</formula>
    </cfRule>
    <cfRule type="expression" dxfId="4" priority="4" stopIfTrue="1">
      <formula>OFFSET($A$2,(COLUMN()-1)*3-1,(ROW()+2)/3-1,1,1)&lt;&gt;CONCATENATE(RIGHT(B4,1),MID(B4,2,1),LEFT(B4,1))</formula>
    </cfRule>
  </conditionalFormatting>
  <conditionalFormatting sqref="O7 O10 O13 O16 O19 O22 O25 O4 O28">
    <cfRule type="iconSet" priority="2">
      <iconSet iconSet="3Arrows" reverse="1">
        <cfvo type="percent" val="0"/>
        <cfvo type="num" val="2" gte="0"/>
        <cfvo type="num" val="MIN(($A$3-2),(MAX($O$4:$O$30)))"/>
      </iconSet>
    </cfRule>
  </conditionalFormatting>
  <dataValidations count="1">
    <dataValidation type="list" allowBlank="1" showInputMessage="1" showErrorMessage="1" sqref="B4:J30" xr:uid="{00000000-0002-0000-0B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76" orientation="landscape" r:id="rId1"/>
  <headerFooter>
    <oddHeader>&amp;C&amp;A</oddHeader>
    <oddFooter>&amp;LPrepared by City Squash Club&amp;C&amp;F&amp;R&amp;D</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3"/>
  <sheetViews>
    <sheetView zoomScale="90" zoomScaleNormal="90" workbookViewId="0">
      <selection activeCell="B4" sqref="B4:B6"/>
    </sheetView>
  </sheetViews>
  <sheetFormatPr baseColWidth="10" defaultColWidth="8.83203125" defaultRowHeight="15"/>
  <cols>
    <col min="1" max="10" width="12.33203125" customWidth="1"/>
    <col min="11" max="11" width="12.33203125" hidden="1" customWidth="1"/>
    <col min="12" max="12" width="10.6640625" customWidth="1"/>
    <col min="13" max="15" width="8.5" customWidth="1"/>
    <col min="16" max="16" width="10.6640625" customWidth="1"/>
    <col min="17" max="17" width="10" customWidth="1"/>
    <col min="18" max="18" width="10.6640625" style="4" customWidth="1"/>
  </cols>
  <sheetData>
    <row r="1" spans="1:19" ht="15.75" customHeight="1">
      <c r="A1" s="21"/>
      <c r="B1" s="98" t="e">
        <f t="shared" ref="B1:K1" ca="1" si="0">VLOOKUP(CONCATENATE(LEFT($A$2,1),COLUMN()-1),nevezettek,3,FALSE)</f>
        <v>#N/A</v>
      </c>
      <c r="C1" s="98" t="e">
        <f t="shared" ca="1" si="0"/>
        <v>#N/A</v>
      </c>
      <c r="D1" s="98" t="e">
        <f t="shared" ca="1" si="0"/>
        <v>#N/A</v>
      </c>
      <c r="E1" s="98" t="e">
        <f t="shared" ca="1" si="0"/>
        <v>#N/A</v>
      </c>
      <c r="F1" s="98" t="e">
        <f t="shared" ca="1" si="0"/>
        <v>#N/A</v>
      </c>
      <c r="G1" s="98" t="e">
        <f t="shared" ca="1" si="0"/>
        <v>#N/A</v>
      </c>
      <c r="H1" s="98" t="e">
        <f t="shared" ca="1" si="0"/>
        <v>#N/A</v>
      </c>
      <c r="I1" s="98" t="e">
        <f t="shared" ca="1" si="0"/>
        <v>#N/A</v>
      </c>
      <c r="J1" s="98" t="e">
        <f t="shared" ca="1" si="0"/>
        <v>#N/A</v>
      </c>
      <c r="K1" s="107" t="e">
        <f t="shared" ca="1" si="0"/>
        <v>#N/A</v>
      </c>
      <c r="L1" s="110" t="s">
        <v>31</v>
      </c>
      <c r="M1" s="113" t="s">
        <v>59</v>
      </c>
      <c r="N1" s="89" t="s">
        <v>58</v>
      </c>
      <c r="O1" s="92" t="s">
        <v>65</v>
      </c>
      <c r="P1" s="95" t="s">
        <v>167</v>
      </c>
      <c r="Q1" s="4"/>
    </row>
    <row r="2" spans="1:19">
      <c r="A2" s="22" t="str">
        <f ca="1">RIGHT(CELL("filename",A1),6)</f>
        <v>s_liga</v>
      </c>
      <c r="B2" s="99"/>
      <c r="C2" s="99"/>
      <c r="D2" s="99"/>
      <c r="E2" s="99"/>
      <c r="F2" s="99"/>
      <c r="G2" s="99"/>
      <c r="H2" s="99"/>
      <c r="I2" s="99"/>
      <c r="J2" s="99"/>
      <c r="K2" s="108"/>
      <c r="L2" s="111"/>
      <c r="M2" s="114"/>
      <c r="N2" s="90"/>
      <c r="O2" s="93"/>
      <c r="P2" s="96"/>
      <c r="Q2" s="4"/>
    </row>
    <row r="3" spans="1:19">
      <c r="A3" s="23">
        <f ca="1">COUNTIF(Ligabeosztas!D:D,LEFT(A2,1))</f>
        <v>0</v>
      </c>
      <c r="B3" s="100"/>
      <c r="C3" s="100"/>
      <c r="D3" s="100"/>
      <c r="E3" s="100"/>
      <c r="F3" s="100"/>
      <c r="G3" s="100"/>
      <c r="H3" s="100"/>
      <c r="I3" s="100"/>
      <c r="J3" s="100"/>
      <c r="K3" s="109"/>
      <c r="L3" s="112"/>
      <c r="M3" s="115"/>
      <c r="N3" s="91"/>
      <c r="O3" s="94"/>
      <c r="P3" s="97"/>
      <c r="Q3" s="4"/>
      <c r="R3" s="24"/>
    </row>
    <row r="4" spans="1:19" ht="15" customHeight="1">
      <c r="A4" s="98" t="e">
        <f ca="1">B1</f>
        <v>#N/A</v>
      </c>
      <c r="B4" s="101"/>
      <c r="C4" s="104"/>
      <c r="D4" s="104"/>
      <c r="E4" s="104"/>
      <c r="F4" s="104"/>
      <c r="G4" s="104"/>
      <c r="H4" s="104"/>
      <c r="I4" s="104"/>
      <c r="J4" s="104"/>
      <c r="K4" s="124"/>
      <c r="L4" s="127">
        <f>5*(COUNTIF(B4:K6,"5/0")+COUNTIF(B4:K6,"4/1")+COUNTIF(B4:K6,"3/2")+COUNTIF(B4:K6,"5/-"))+3*COUNTIF(B4:K6,"2/3")+2*COUNTIF(B4:K6,"1/4")+COUNTIF(B4:K6,"0/5")+0.01*M4+0.0001*(N4)</f>
        <v>0</v>
      </c>
      <c r="M4" s="130">
        <f>1*COUNTIF(B4:K6,"5/0")+1*COUNTIF(B4:K6,"4/1")+1*COUNTIF(B4:K6,"3/2")+1*COUNTIF(B4:K6,"5/-")+0*COUNTIF(B4:K6,"2/3")+0*COUNTIF(B4:K6,"1/4")+0*COUNTIF(B4:K6,"0/5")</f>
        <v>0</v>
      </c>
      <c r="N4" s="116">
        <f>5*COUNTIF(B4:K6,"5/0")+4*COUNTIF(B4:K6,"4/1")+3*COUNTIF(B4:K6,"3/2")+5*COUNTIF(B4:K6,"5/-")+2*COUNTIF(B4:K6,"2/3")+1*COUNTIF(B4:K6,"1/4")+0*COUNTIF(B4:K6,"0/5")</f>
        <v>0</v>
      </c>
      <c r="O4" s="119">
        <f>0*COUNTIF(B4:K6,"5/0")+1*COUNTIF(B4:K6,"4/1")+2*COUNTIF(B4:K6,"3/2")+3*COUNTIF(B4:K6,"2/3")+4*COUNTIF(B4:K6,"1/4")+5*COUNTIF(B4:K6,"0/5")+5*COUNTIF(B4:K6,"-/5")</f>
        <v>0</v>
      </c>
      <c r="P4" s="133">
        <f>RANK(L4,L$4:L$33)</f>
        <v>1</v>
      </c>
      <c r="Q4" s="9"/>
    </row>
    <row r="5" spans="1:19">
      <c r="A5" s="99"/>
      <c r="B5" s="102"/>
      <c r="C5" s="105"/>
      <c r="D5" s="105"/>
      <c r="E5" s="105"/>
      <c r="F5" s="105"/>
      <c r="G5" s="105"/>
      <c r="H5" s="105"/>
      <c r="I5" s="105"/>
      <c r="J5" s="105"/>
      <c r="K5" s="125"/>
      <c r="L5" s="128"/>
      <c r="M5" s="131"/>
      <c r="N5" s="117"/>
      <c r="O5" s="120"/>
      <c r="P5" s="134"/>
      <c r="Q5" s="4"/>
    </row>
    <row r="6" spans="1:19">
      <c r="A6" s="100"/>
      <c r="B6" s="103"/>
      <c r="C6" s="106"/>
      <c r="D6" s="106"/>
      <c r="E6" s="106"/>
      <c r="F6" s="106"/>
      <c r="G6" s="106"/>
      <c r="H6" s="106"/>
      <c r="I6" s="106"/>
      <c r="J6" s="106"/>
      <c r="K6" s="126"/>
      <c r="L6" s="129"/>
      <c r="M6" s="132"/>
      <c r="N6" s="118"/>
      <c r="O6" s="121"/>
      <c r="P6" s="29">
        <f>IFERROR(L4/SUM(N4:O6),0)</f>
        <v>0</v>
      </c>
      <c r="Q6" s="10"/>
    </row>
    <row r="7" spans="1:19">
      <c r="A7" s="98" t="e">
        <f ca="1">C1</f>
        <v>#N/A</v>
      </c>
      <c r="B7" s="104"/>
      <c r="C7" s="101"/>
      <c r="D7" s="104"/>
      <c r="E7" s="104"/>
      <c r="F7" s="104"/>
      <c r="G7" s="104"/>
      <c r="H7" s="104"/>
      <c r="I7" s="104"/>
      <c r="J7" s="104"/>
      <c r="K7" s="124"/>
      <c r="L7" s="127">
        <f t="shared" ref="L7" si="1">5*(COUNTIF(B7:K9,"5/0")+COUNTIF(B7:K9,"4/1")+COUNTIF(B7:K9,"3/2")+COUNTIF(B7:K9,"5/-"))+3*COUNTIF(B7:K9,"2/3")+2*COUNTIF(B7:K9,"1/4")+COUNTIF(B7:K9,"0/5")+0.01*M7+0.0001*(N7)</f>
        <v>0</v>
      </c>
      <c r="M7" s="130">
        <f>1*COUNTIF(B7:K9,"5/0")+1*COUNTIF(B7:K9,"4/1")+1*COUNTIF(B7:K9,"3/2")+1*COUNTIF(B7:K9,"5/-")+0*COUNTIF(B7:K9,"2/3")+0*COUNTIF(B7:K9,"1/4")+0*COUNTIF(B7:K9,"0/5")</f>
        <v>0</v>
      </c>
      <c r="N7" s="116">
        <f>5*COUNTIF(B7:K9,"5/0")+4*COUNTIF(B7:K9,"4/1")+3*COUNTIF(B7:K9,"3/2")+5*COUNTIF(B7:K9,"5/-")+2*COUNTIF(B7:K9,"2/3")+1*COUNTIF(B7:K9,"1/4")+0*COUNTIF(B7:K9,"0/5")</f>
        <v>0</v>
      </c>
      <c r="O7" s="119">
        <f>0*COUNTIF(B7:K9,"5/0")+1*COUNTIF(B7:K9,"4/1")+2*COUNTIF(B7:K9,"3/2")+3*COUNTIF(B7:K9,"2/3")+4*COUNTIF(B7:K9,"1/4")+5*COUNTIF(B7:K9,"0/5")+5*COUNTIF(B7:K9,"-/5")</f>
        <v>0</v>
      </c>
      <c r="P7" s="133">
        <f>RANK(L7,L$4:L$33)</f>
        <v>1</v>
      </c>
      <c r="Q7" s="10"/>
      <c r="S7" s="5"/>
    </row>
    <row r="8" spans="1:19">
      <c r="A8" s="99"/>
      <c r="B8" s="105"/>
      <c r="C8" s="102"/>
      <c r="D8" s="105"/>
      <c r="E8" s="105"/>
      <c r="F8" s="105"/>
      <c r="G8" s="105"/>
      <c r="H8" s="105"/>
      <c r="I8" s="105"/>
      <c r="J8" s="105"/>
      <c r="K8" s="125"/>
      <c r="L8" s="128"/>
      <c r="M8" s="131"/>
      <c r="N8" s="117"/>
      <c r="O8" s="120"/>
      <c r="P8" s="134"/>
      <c r="Q8" s="2"/>
      <c r="S8" s="5"/>
    </row>
    <row r="9" spans="1:19">
      <c r="A9" s="100"/>
      <c r="B9" s="106"/>
      <c r="C9" s="103"/>
      <c r="D9" s="106"/>
      <c r="E9" s="106"/>
      <c r="F9" s="106"/>
      <c r="G9" s="106"/>
      <c r="H9" s="106"/>
      <c r="I9" s="106"/>
      <c r="J9" s="106"/>
      <c r="K9" s="126"/>
      <c r="L9" s="129"/>
      <c r="M9" s="132"/>
      <c r="N9" s="118"/>
      <c r="O9" s="121"/>
      <c r="P9" s="29">
        <f>IFERROR(L7/SUM(N7:O9),0)</f>
        <v>0</v>
      </c>
      <c r="Q9" s="10"/>
      <c r="S9" s="8"/>
    </row>
    <row r="10" spans="1:19">
      <c r="A10" s="98" t="e">
        <f ca="1">D1</f>
        <v>#N/A</v>
      </c>
      <c r="B10" s="104"/>
      <c r="C10" s="104"/>
      <c r="D10" s="101"/>
      <c r="E10" s="104"/>
      <c r="F10" s="104"/>
      <c r="G10" s="104"/>
      <c r="H10" s="104"/>
      <c r="I10" s="104"/>
      <c r="J10" s="104"/>
      <c r="K10" s="124"/>
      <c r="L10" s="127">
        <f t="shared" ref="L10" si="2">5*(COUNTIF(B10:K12,"5/0")+COUNTIF(B10:K12,"4/1")+COUNTIF(B10:K12,"3/2")+COUNTIF(B10:K12,"5/-"))+3*COUNTIF(B10:K12,"2/3")+2*COUNTIF(B10:K12,"1/4")+COUNTIF(B10:K12,"0/5")+0.01*M10+0.0001*(N10)</f>
        <v>0</v>
      </c>
      <c r="M10" s="130">
        <f>1*COUNTIF(B10:K12,"5/0")+1*COUNTIF(B10:K12,"4/1")+1*COUNTIF(B10:K12,"3/2")+1*COUNTIF(B10:K12,"5/-")+0*COUNTIF(B10:K12,"2/3")+0*COUNTIF(B10:K12,"1/4")+0*COUNTIF(B10:K12,"0/5")</f>
        <v>0</v>
      </c>
      <c r="N10" s="116">
        <f>5*COUNTIF(B10:K12,"5/0")+4*COUNTIF(B10:K12,"4/1")+3*COUNTIF(B10:K12,"3/2")+5*COUNTIF(B10:K12,"5/-")+2*COUNTIF(B10:K12,"2/3")+1*COUNTIF(B10:K12,"1/4")+0*COUNTIF(B10:K12,"0/5")</f>
        <v>0</v>
      </c>
      <c r="O10" s="119">
        <f>0*COUNTIF(B10:K12,"5/0")+1*COUNTIF(B10:K12,"4/1")+2*COUNTIF(B10:K12,"3/2")+3*COUNTIF(B10:K12,"2/3")+4*COUNTIF(B10:K12,"1/4")+5*COUNTIF(B10:K12,"0/5")+5*COUNTIF(B10:K12,"-/5")</f>
        <v>0</v>
      </c>
      <c r="P10" s="133">
        <f>RANK(L10,L$4:L$33)</f>
        <v>1</v>
      </c>
      <c r="Q10" s="10"/>
    </row>
    <row r="11" spans="1:19">
      <c r="A11" s="99"/>
      <c r="B11" s="105"/>
      <c r="C11" s="105"/>
      <c r="D11" s="102"/>
      <c r="E11" s="105"/>
      <c r="F11" s="105"/>
      <c r="G11" s="105"/>
      <c r="H11" s="105"/>
      <c r="I11" s="105"/>
      <c r="J11" s="105"/>
      <c r="K11" s="125"/>
      <c r="L11" s="128"/>
      <c r="M11" s="131"/>
      <c r="N11" s="117"/>
      <c r="O11" s="120"/>
      <c r="P11" s="134"/>
      <c r="Q11" s="1"/>
      <c r="S11" s="6"/>
    </row>
    <row r="12" spans="1:19">
      <c r="A12" s="100"/>
      <c r="B12" s="106"/>
      <c r="C12" s="106"/>
      <c r="D12" s="103"/>
      <c r="E12" s="106"/>
      <c r="F12" s="106"/>
      <c r="G12" s="106"/>
      <c r="H12" s="106"/>
      <c r="I12" s="106"/>
      <c r="J12" s="106"/>
      <c r="K12" s="126"/>
      <c r="L12" s="129"/>
      <c r="M12" s="132"/>
      <c r="N12" s="118"/>
      <c r="O12" s="121"/>
      <c r="P12" s="29">
        <f>IFERROR(L10/SUM(N10:O12),0)</f>
        <v>0</v>
      </c>
      <c r="Q12" s="10"/>
    </row>
    <row r="13" spans="1:19">
      <c r="A13" s="98" t="e">
        <f ca="1">E1</f>
        <v>#N/A</v>
      </c>
      <c r="B13" s="104"/>
      <c r="C13" s="104"/>
      <c r="D13" s="104"/>
      <c r="E13" s="101"/>
      <c r="F13" s="104"/>
      <c r="G13" s="104"/>
      <c r="H13" s="104"/>
      <c r="I13" s="104"/>
      <c r="J13" s="104"/>
      <c r="K13" s="124"/>
      <c r="L13" s="127">
        <f t="shared" ref="L13" si="3">5*(COUNTIF(B13:K15,"5/0")+COUNTIF(B13:K15,"4/1")+COUNTIF(B13:K15,"3/2")+COUNTIF(B13:K15,"5/-"))+3*COUNTIF(B13:K15,"2/3")+2*COUNTIF(B13:K15,"1/4")+COUNTIF(B13:K15,"0/5")+0.01*M13+0.0001*(N13)</f>
        <v>0</v>
      </c>
      <c r="M13" s="130">
        <f>1*COUNTIF(B13:K15,"5/0")+1*COUNTIF(B13:K15,"4/1")+1*COUNTIF(B13:K15,"3/2")+1*COUNTIF(B13:K15,"5/-")+0*COUNTIF(B13:K15,"2/3")+0*COUNTIF(B13:K15,"1/4")+0*COUNTIF(B13:K15,"0/5")</f>
        <v>0</v>
      </c>
      <c r="N13" s="116">
        <f>5*COUNTIF(B13:K15,"5/0")+4*COUNTIF(B13:K15,"4/1")+3*COUNTIF(B13:K15,"3/2")+5*COUNTIF(B13:K15,"5/-")+2*COUNTIF(B13:K15,"2/3")+1*COUNTIF(B13:K15,"1/4")+0*COUNTIF(B13:K15,"0/5")</f>
        <v>0</v>
      </c>
      <c r="O13" s="119">
        <f>0*COUNTIF(B13:K15,"5/0")+1*COUNTIF(B13:K15,"4/1")+2*COUNTIF(B13:K15,"3/2")+3*COUNTIF(B13:K15,"2/3")+4*COUNTIF(B13:K15,"1/4")+5*COUNTIF(B13:K15,"0/5")+5*COUNTIF(B13:K15,"-/5")</f>
        <v>0</v>
      </c>
      <c r="P13" s="133">
        <f>RANK(L13,L$4:L$33)</f>
        <v>1</v>
      </c>
      <c r="Q13" s="10"/>
    </row>
    <row r="14" spans="1:19">
      <c r="A14" s="99"/>
      <c r="B14" s="105"/>
      <c r="C14" s="105"/>
      <c r="D14" s="105"/>
      <c r="E14" s="102"/>
      <c r="F14" s="105"/>
      <c r="G14" s="105"/>
      <c r="H14" s="105"/>
      <c r="I14" s="105"/>
      <c r="J14" s="105"/>
      <c r="K14" s="125"/>
      <c r="L14" s="128"/>
      <c r="M14" s="131"/>
      <c r="N14" s="117"/>
      <c r="O14" s="120"/>
      <c r="P14" s="134"/>
      <c r="Q14" s="4"/>
      <c r="S14" s="6"/>
    </row>
    <row r="15" spans="1:19">
      <c r="A15" s="100"/>
      <c r="B15" s="106"/>
      <c r="C15" s="106"/>
      <c r="D15" s="106"/>
      <c r="E15" s="103"/>
      <c r="F15" s="106"/>
      <c r="G15" s="106"/>
      <c r="H15" s="106"/>
      <c r="I15" s="106"/>
      <c r="J15" s="106"/>
      <c r="K15" s="126"/>
      <c r="L15" s="129"/>
      <c r="M15" s="132"/>
      <c r="N15" s="118"/>
      <c r="O15" s="121"/>
      <c r="P15" s="29">
        <f>IFERROR(L13/SUM(N13:O15),0)</f>
        <v>0</v>
      </c>
      <c r="Q15" s="10"/>
    </row>
    <row r="16" spans="1:19">
      <c r="A16" s="98" t="e">
        <f ca="1">F1</f>
        <v>#N/A</v>
      </c>
      <c r="B16" s="104"/>
      <c r="C16" s="104"/>
      <c r="D16" s="104"/>
      <c r="E16" s="104"/>
      <c r="F16" s="101"/>
      <c r="G16" s="104"/>
      <c r="H16" s="104"/>
      <c r="I16" s="104"/>
      <c r="J16" s="104"/>
      <c r="K16" s="124"/>
      <c r="L16" s="127">
        <f t="shared" ref="L16" si="4">5*(COUNTIF(B16:K18,"5/0")+COUNTIF(B16:K18,"4/1")+COUNTIF(B16:K18,"3/2")+COUNTIF(B16:K18,"5/-"))+3*COUNTIF(B16:K18,"2/3")+2*COUNTIF(B16:K18,"1/4")+COUNTIF(B16:K18,"0/5")+0.01*M16+0.0001*(N16)</f>
        <v>0</v>
      </c>
      <c r="M16" s="130">
        <f>1*COUNTIF(B16:K18,"5/0")+1*COUNTIF(B16:K18,"4/1")+1*COUNTIF(B16:K18,"3/2")+1*COUNTIF(B16:K18,"5/-")+0*COUNTIF(B16:K18,"2/3")+0*COUNTIF(B16:K18,"1/4")+0*COUNTIF(B16:K18,"0/5")</f>
        <v>0</v>
      </c>
      <c r="N16" s="116">
        <f>5*COUNTIF(B16:K18,"5/0")+4*COUNTIF(B16:K18,"4/1")+3*COUNTIF(B16:K18,"3/2")+5*COUNTIF(B16:K18,"5/-")+2*COUNTIF(B16:K18,"2/3")+1*COUNTIF(B16:K18,"1/4")+0*COUNTIF(B16:K18,"0/5")</f>
        <v>0</v>
      </c>
      <c r="O16" s="119">
        <f>0*COUNTIF(B16:K18,"5/0")+1*COUNTIF(B16:K18,"4/1")+2*COUNTIF(B16:K18,"3/2")+3*COUNTIF(B16:K18,"2/3")+4*COUNTIF(B16:K18,"1/4")+5*COUNTIF(B16:K18,"0/5")+5*COUNTIF(B16:K18,"-/5")</f>
        <v>0</v>
      </c>
      <c r="P16" s="133">
        <f>RANK(L16,L$4:L$33)</f>
        <v>1</v>
      </c>
      <c r="Q16" s="10"/>
    </row>
    <row r="17" spans="1:21">
      <c r="A17" s="99"/>
      <c r="B17" s="105"/>
      <c r="C17" s="105"/>
      <c r="D17" s="105"/>
      <c r="E17" s="105"/>
      <c r="F17" s="102"/>
      <c r="G17" s="105"/>
      <c r="H17" s="105"/>
      <c r="I17" s="105"/>
      <c r="J17" s="105"/>
      <c r="K17" s="125"/>
      <c r="L17" s="128"/>
      <c r="M17" s="131"/>
      <c r="N17" s="117"/>
      <c r="O17" s="120"/>
      <c r="P17" s="134"/>
      <c r="Q17" s="4"/>
    </row>
    <row r="18" spans="1:21">
      <c r="A18" s="100"/>
      <c r="B18" s="106"/>
      <c r="C18" s="106"/>
      <c r="D18" s="106"/>
      <c r="E18" s="106"/>
      <c r="F18" s="103"/>
      <c r="G18" s="106"/>
      <c r="H18" s="106"/>
      <c r="I18" s="106"/>
      <c r="J18" s="106"/>
      <c r="K18" s="126"/>
      <c r="L18" s="129"/>
      <c r="M18" s="132"/>
      <c r="N18" s="118"/>
      <c r="O18" s="121"/>
      <c r="P18" s="29">
        <f>IFERROR(L16/SUM(N16:O18),0)</f>
        <v>0</v>
      </c>
      <c r="Q18" s="10"/>
    </row>
    <row r="19" spans="1:21">
      <c r="A19" s="98" t="e">
        <f ca="1">G1</f>
        <v>#N/A</v>
      </c>
      <c r="B19" s="104"/>
      <c r="C19" s="104"/>
      <c r="D19" s="104"/>
      <c r="E19" s="104"/>
      <c r="F19" s="104"/>
      <c r="G19" s="101"/>
      <c r="H19" s="104"/>
      <c r="I19" s="104"/>
      <c r="J19" s="104"/>
      <c r="K19" s="124"/>
      <c r="L19" s="127">
        <f t="shared" ref="L19" si="5">5*(COUNTIF(B19:K21,"5/0")+COUNTIF(B19:K21,"4/1")+COUNTIF(B19:K21,"3/2")+COUNTIF(B19:K21,"5/-"))+3*COUNTIF(B19:K21,"2/3")+2*COUNTIF(B19:K21,"1/4")+COUNTIF(B19:K21,"0/5")+0.01*M19+0.0001*(N19)</f>
        <v>0</v>
      </c>
      <c r="M19" s="130">
        <f>1*COUNTIF(B19:K21,"5/0")+1*COUNTIF(B19:K21,"4/1")+1*COUNTIF(B19:K21,"3/2")+1*COUNTIF(B19:K21,"5/-")+0*COUNTIF(B19:K21,"2/3")+0*COUNTIF(B19:K21,"1/4")+0*COUNTIF(B19:K21,"0/5")</f>
        <v>0</v>
      </c>
      <c r="N19" s="116">
        <f>5*COUNTIF(B19:K21,"5/0")+4*COUNTIF(B19:K21,"4/1")+3*COUNTIF(B19:K21,"3/2")+5*COUNTIF(B19:K21,"5/-")+2*COUNTIF(B19:K21,"2/3")+1*COUNTIF(B19:K21,"1/4")+0*COUNTIF(B19:K21,"0/5")</f>
        <v>0</v>
      </c>
      <c r="O19" s="119">
        <f>0*COUNTIF(B19:K21,"5/0")+1*COUNTIF(B19:K21,"4/1")+2*COUNTIF(B19:K21,"3/2")+3*COUNTIF(B19:K21,"2/3")+4*COUNTIF(B19:K21,"1/4")+5*COUNTIF(B19:K21,"0/5")+5*COUNTIF(B19:K21,"-/5")</f>
        <v>0</v>
      </c>
      <c r="P19" s="133">
        <f>RANK(L19,L$4:L$33)</f>
        <v>1</v>
      </c>
      <c r="Q19" s="10"/>
      <c r="S19" s="5"/>
    </row>
    <row r="20" spans="1:21">
      <c r="A20" s="99"/>
      <c r="B20" s="105"/>
      <c r="C20" s="105"/>
      <c r="D20" s="105"/>
      <c r="E20" s="105"/>
      <c r="F20" s="105"/>
      <c r="G20" s="102"/>
      <c r="H20" s="105"/>
      <c r="I20" s="105"/>
      <c r="J20" s="105"/>
      <c r="K20" s="125"/>
      <c r="L20" s="128"/>
      <c r="M20" s="131"/>
      <c r="N20" s="117"/>
      <c r="O20" s="120"/>
      <c r="P20" s="134"/>
      <c r="Q20" s="1"/>
      <c r="S20" s="5"/>
    </row>
    <row r="21" spans="1:21">
      <c r="A21" s="100"/>
      <c r="B21" s="106"/>
      <c r="C21" s="106"/>
      <c r="D21" s="106"/>
      <c r="E21" s="106"/>
      <c r="F21" s="106"/>
      <c r="G21" s="103"/>
      <c r="H21" s="106"/>
      <c r="I21" s="106"/>
      <c r="J21" s="106"/>
      <c r="K21" s="126"/>
      <c r="L21" s="129"/>
      <c r="M21" s="132"/>
      <c r="N21" s="118"/>
      <c r="O21" s="121"/>
      <c r="P21" s="29">
        <f>IFERROR(L19/SUM(N19:O21),0)</f>
        <v>0</v>
      </c>
      <c r="Q21" s="10"/>
    </row>
    <row r="22" spans="1:21">
      <c r="A22" s="98" t="e">
        <f ca="1">H1</f>
        <v>#N/A</v>
      </c>
      <c r="B22" s="104"/>
      <c r="C22" s="104"/>
      <c r="D22" s="104"/>
      <c r="E22" s="104"/>
      <c r="F22" s="104"/>
      <c r="G22" s="104"/>
      <c r="H22" s="101"/>
      <c r="I22" s="104"/>
      <c r="J22" s="104"/>
      <c r="K22" s="124"/>
      <c r="L22" s="127">
        <f t="shared" ref="L22" si="6">5*(COUNTIF(B22:K24,"5/0")+COUNTIF(B22:K24,"4/1")+COUNTIF(B22:K24,"3/2")+COUNTIF(B22:K24,"5/-"))+3*COUNTIF(B22:K24,"2/3")+2*COUNTIF(B22:K24,"1/4")+COUNTIF(B22:K24,"0/5")+0.01*M22+0.0001*(N22)</f>
        <v>0</v>
      </c>
      <c r="M22" s="130">
        <f>1*COUNTIF(B22:K24,"5/0")+1*COUNTIF(B22:K24,"4/1")+1*COUNTIF(B22:K24,"3/2")+1*COUNTIF(B22:K24,"5/-")+0*COUNTIF(B22:K24,"2/3")+0*COUNTIF(B22:K24,"1/4")+0*COUNTIF(B22:K24,"0/5")</f>
        <v>0</v>
      </c>
      <c r="N22" s="116">
        <f>5*COUNTIF(B22:K24,"5/0")+4*COUNTIF(B22:K24,"4/1")+3*COUNTIF(B22:K24,"3/2")+5*COUNTIF(B22:K24,"5/-")+2*COUNTIF(B22:K24,"2/3")+1*COUNTIF(B22:K24,"1/4")+0*COUNTIF(B22:K24,"0/5")</f>
        <v>0</v>
      </c>
      <c r="O22" s="119">
        <f>0*COUNTIF(B22:K24,"5/0")+1*COUNTIF(B22:K24,"4/1")+2*COUNTIF(B22:K24,"3/2")+3*COUNTIF(B22:K24,"2/3")+4*COUNTIF(B22:K24,"1/4")+5*COUNTIF(B22:K24,"0/5")+5*COUNTIF(B22:K24,"-/5")</f>
        <v>0</v>
      </c>
      <c r="P22" s="133">
        <f>RANK(L22,L$4:L$33)</f>
        <v>1</v>
      </c>
      <c r="Q22" s="10"/>
    </row>
    <row r="23" spans="1:21">
      <c r="A23" s="99"/>
      <c r="B23" s="105"/>
      <c r="C23" s="105"/>
      <c r="D23" s="105"/>
      <c r="E23" s="105"/>
      <c r="F23" s="105"/>
      <c r="G23" s="105"/>
      <c r="H23" s="102"/>
      <c r="I23" s="105"/>
      <c r="J23" s="105"/>
      <c r="K23" s="125"/>
      <c r="L23" s="128"/>
      <c r="M23" s="131"/>
      <c r="N23" s="117"/>
      <c r="O23" s="120"/>
      <c r="P23" s="134"/>
      <c r="Q23" s="1"/>
      <c r="S23" s="7"/>
      <c r="U23" s="3"/>
    </row>
    <row r="24" spans="1:21">
      <c r="A24" s="100"/>
      <c r="B24" s="106"/>
      <c r="C24" s="106"/>
      <c r="D24" s="106"/>
      <c r="E24" s="106"/>
      <c r="F24" s="106"/>
      <c r="G24" s="106"/>
      <c r="H24" s="103"/>
      <c r="I24" s="106"/>
      <c r="J24" s="106"/>
      <c r="K24" s="126"/>
      <c r="L24" s="129"/>
      <c r="M24" s="132"/>
      <c r="N24" s="118"/>
      <c r="O24" s="121"/>
      <c r="P24" s="29">
        <f>IFERROR(L22/SUM(N22:O24),0)</f>
        <v>0</v>
      </c>
      <c r="Q24" s="10"/>
    </row>
    <row r="25" spans="1:21">
      <c r="A25" s="98" t="e">
        <f ca="1">I1</f>
        <v>#N/A</v>
      </c>
      <c r="B25" s="104"/>
      <c r="C25" s="104"/>
      <c r="D25" s="104"/>
      <c r="E25" s="104"/>
      <c r="F25" s="104"/>
      <c r="G25" s="104"/>
      <c r="H25" s="104"/>
      <c r="I25" s="101"/>
      <c r="J25" s="104"/>
      <c r="K25" s="124"/>
      <c r="L25" s="127">
        <f t="shared" ref="L25" si="7">5*(COUNTIF(B25:K27,"5/0")+COUNTIF(B25:K27,"4/1")+COUNTIF(B25:K27,"3/2")+COUNTIF(B25:K27,"5/-"))+3*COUNTIF(B25:K27,"2/3")+2*COUNTIF(B25:K27,"1/4")+COUNTIF(B25:K27,"0/5")+0.01*M25+0.0001*(N25)</f>
        <v>0</v>
      </c>
      <c r="M25" s="130">
        <f>1*COUNTIF(B25:K27,"5/0")+1*COUNTIF(B25:K27,"4/1")+1*COUNTIF(B25:K27,"3/2")+1*COUNTIF(B25:K27,"5/-")+0*COUNTIF(B25:K27,"2/3")+0*COUNTIF(B25:K27,"1/4")+0*COUNTIF(B25:K27,"0/5")</f>
        <v>0</v>
      </c>
      <c r="N25" s="116">
        <f>5*COUNTIF(B25:K27,"5/0")+4*COUNTIF(B25:K27,"4/1")+3*COUNTIF(B25:K27,"3/2")+5*COUNTIF(B25:K27,"5/-")+2*COUNTIF(B25:K27,"2/3")+1*COUNTIF(B25:K27,"1/4")+0*COUNTIF(B25:K27,"0/5")</f>
        <v>0</v>
      </c>
      <c r="O25" s="119">
        <f>0*COUNTIF(B25:K27,"5/0")+1*COUNTIF(B25:K27,"4/1")+2*COUNTIF(B25:K27,"3/2")+3*COUNTIF(B25:K27,"2/3")+4*COUNTIF(B25:K27,"1/4")+5*COUNTIF(B25:K27,"0/5")+5*COUNTIF(B25:K27,"-/5")</f>
        <v>0</v>
      </c>
      <c r="P25" s="133">
        <f>RANK(L25,L$4:L$33)</f>
        <v>1</v>
      </c>
      <c r="Q25" s="10"/>
    </row>
    <row r="26" spans="1:21">
      <c r="A26" s="99"/>
      <c r="B26" s="105"/>
      <c r="C26" s="105"/>
      <c r="D26" s="105"/>
      <c r="E26" s="105"/>
      <c r="F26" s="105"/>
      <c r="G26" s="105"/>
      <c r="H26" s="105"/>
      <c r="I26" s="102"/>
      <c r="J26" s="105"/>
      <c r="K26" s="125"/>
      <c r="L26" s="128"/>
      <c r="M26" s="131"/>
      <c r="N26" s="117"/>
      <c r="O26" s="120"/>
      <c r="P26" s="134"/>
      <c r="Q26" s="2"/>
    </row>
    <row r="27" spans="1:21">
      <c r="A27" s="100"/>
      <c r="B27" s="106"/>
      <c r="C27" s="106"/>
      <c r="D27" s="106"/>
      <c r="E27" s="106"/>
      <c r="F27" s="106"/>
      <c r="G27" s="106"/>
      <c r="H27" s="106"/>
      <c r="I27" s="103"/>
      <c r="J27" s="106"/>
      <c r="K27" s="126"/>
      <c r="L27" s="129"/>
      <c r="M27" s="132"/>
      <c r="N27" s="118"/>
      <c r="O27" s="121"/>
      <c r="P27" s="29">
        <f>IFERROR(L25/SUM(N25:O27),0)</f>
        <v>0</v>
      </c>
      <c r="Q27" s="10"/>
    </row>
    <row r="28" spans="1:21">
      <c r="A28" s="98" t="e">
        <f ca="1">J1</f>
        <v>#N/A</v>
      </c>
      <c r="B28" s="104"/>
      <c r="C28" s="104"/>
      <c r="D28" s="104"/>
      <c r="E28" s="104"/>
      <c r="F28" s="104"/>
      <c r="G28" s="104"/>
      <c r="H28" s="104"/>
      <c r="I28" s="104"/>
      <c r="J28" s="101"/>
      <c r="K28" s="124"/>
      <c r="L28" s="127">
        <f t="shared" ref="L28" si="8">5*(COUNTIF(B28:K30,"5/0")+COUNTIF(B28:K30,"4/1")+COUNTIF(B28:K30,"3/2")+COUNTIF(B28:K30,"5/-"))+3*COUNTIF(B28:K30,"2/3")+2*COUNTIF(B28:K30,"1/4")+COUNTIF(B28:K30,"0/5")+0.01*M28+0.0001*(N28)</f>
        <v>0</v>
      </c>
      <c r="M28" s="130">
        <f>1*COUNTIF(B28:K30,"5/0")+1*COUNTIF(B28:K30,"4/1")+1*COUNTIF(B28:K30,"3/2")+1*COUNTIF(B28:K30,"5/-")+0*COUNTIF(B28:K30,"2/3")+0*COUNTIF(B28:K30,"1/4")+0*COUNTIF(B28:K30,"0/5")</f>
        <v>0</v>
      </c>
      <c r="N28" s="116">
        <f>5*COUNTIF(B28:K30,"5/0")+4*COUNTIF(B28:K30,"4/1")+3*COUNTIF(B28:K30,"3/2")+5*COUNTIF(B28:K30,"5/-")+2*COUNTIF(B28:K30,"2/3")+1*COUNTIF(B28:K30,"1/4")+0*COUNTIF(B28:K30,"0/5")</f>
        <v>0</v>
      </c>
      <c r="O28" s="119">
        <f>0*COUNTIF(B28:K30,"5/0")+1*COUNTIF(B28:K30,"4/1")+2*COUNTIF(B28:K30,"3/2")+3*COUNTIF(B28:K30,"2/3")+4*COUNTIF(B28:K30,"1/4")+5*COUNTIF(B28:K30,"0/5")+5*COUNTIF(B28:K30,"-/5")</f>
        <v>0</v>
      </c>
      <c r="P28" s="133">
        <f>RANK(L28,L$4:L$33)</f>
        <v>1</v>
      </c>
      <c r="Q28" s="10"/>
    </row>
    <row r="29" spans="1:21">
      <c r="A29" s="99"/>
      <c r="B29" s="105"/>
      <c r="C29" s="105"/>
      <c r="D29" s="105"/>
      <c r="E29" s="105"/>
      <c r="F29" s="105"/>
      <c r="G29" s="105"/>
      <c r="H29" s="105"/>
      <c r="I29" s="105"/>
      <c r="J29" s="102"/>
      <c r="K29" s="125"/>
      <c r="L29" s="128"/>
      <c r="M29" s="131"/>
      <c r="N29" s="117"/>
      <c r="O29" s="120"/>
      <c r="P29" s="134"/>
      <c r="Q29" s="2"/>
    </row>
    <row r="30" spans="1:21">
      <c r="A30" s="100"/>
      <c r="B30" s="106"/>
      <c r="C30" s="106"/>
      <c r="D30" s="106"/>
      <c r="E30" s="106"/>
      <c r="F30" s="106"/>
      <c r="G30" s="106"/>
      <c r="H30" s="106"/>
      <c r="I30" s="106"/>
      <c r="J30" s="103"/>
      <c r="K30" s="126"/>
      <c r="L30" s="129"/>
      <c r="M30" s="132"/>
      <c r="N30" s="118"/>
      <c r="O30" s="121"/>
      <c r="P30" s="29">
        <f>IFERROR(L28/SUM(N28:O30),0)</f>
        <v>0</v>
      </c>
      <c r="Q30" s="10"/>
    </row>
    <row r="31" spans="1:21" ht="15" hidden="1" customHeight="1">
      <c r="A31" s="98" t="e">
        <f ca="1">K1</f>
        <v>#N/A</v>
      </c>
      <c r="B31" s="104"/>
      <c r="C31" s="104"/>
      <c r="D31" s="104"/>
      <c r="E31" s="104"/>
      <c r="F31" s="104"/>
      <c r="G31" s="104"/>
      <c r="H31" s="104"/>
      <c r="I31" s="104"/>
      <c r="J31" s="104"/>
      <c r="K31" s="101"/>
      <c r="L31" s="127">
        <f t="shared" ref="L31" si="9">5*(COUNTIF(B31:K33,"5/0")+COUNTIF(B31:K33,"4/1")+COUNTIF(B31:K33,"3/2")+COUNTIF(B31:K33,"5/-"))+3*COUNTIF(B31:K33,"2/3")+2*COUNTIF(B31:K33,"1/4")+COUNTIF(B31:K33,"0/5")+0.01*M31+0.0001*(N31)</f>
        <v>0</v>
      </c>
      <c r="M31" s="130">
        <f>1*COUNTIF(B31:K33,"5/0")+1*COUNTIF(B31:K33,"4/1")+1*COUNTIF(B31:K33,"3/2")+1*COUNTIF(B31:K33,"5/-")+0*COUNTIF(B31:K33,"2/3")+0*COUNTIF(B31:K33,"1/4")+0*COUNTIF(B31:K33,"0/5")</f>
        <v>0</v>
      </c>
      <c r="N31" s="116">
        <f>5*COUNTIF(B31:K33,"5/0")+4*COUNTIF(B31:K33,"4/1")+3*COUNTIF(B31:K33,"3/2")+5*COUNTIF(B31:K33,"5/-")+2*COUNTIF(B31:K33,"2/3")+1*COUNTIF(B31:K33,"1/4")+0*COUNTIF(B31:K33,"0/5")</f>
        <v>0</v>
      </c>
      <c r="O31" s="119">
        <f>0*COUNTIF(B31:K33,"5/0")+1*COUNTIF(B31:K33,"4/1")+2*COUNTIF(B31:K33,"3/2")+3*COUNTIF(B31:K33,"2/3")+4*COUNTIF(B31:K33,"1/4")+5*COUNTIF(B31:K33,"0/5")+5*COUNTIF(B31:K33,"-/5")</f>
        <v>0</v>
      </c>
      <c r="P31" s="133">
        <f>RANK(L31,L$4:L$33)</f>
        <v>1</v>
      </c>
      <c r="Q31" s="10"/>
    </row>
    <row r="32" spans="1:21" ht="15" hidden="1" customHeight="1">
      <c r="A32" s="99"/>
      <c r="B32" s="105"/>
      <c r="C32" s="105"/>
      <c r="D32" s="105"/>
      <c r="E32" s="105"/>
      <c r="F32" s="105"/>
      <c r="G32" s="105"/>
      <c r="H32" s="105"/>
      <c r="I32" s="105"/>
      <c r="J32" s="105"/>
      <c r="K32" s="102"/>
      <c r="L32" s="128"/>
      <c r="M32" s="131"/>
      <c r="N32" s="117"/>
      <c r="O32" s="120"/>
      <c r="P32" s="134"/>
      <c r="Q32" s="2"/>
    </row>
    <row r="33" spans="1:17" ht="15" hidden="1" customHeight="1">
      <c r="A33" s="100"/>
      <c r="B33" s="106"/>
      <c r="C33" s="106"/>
      <c r="D33" s="106"/>
      <c r="E33" s="106"/>
      <c r="F33" s="106"/>
      <c r="G33" s="106"/>
      <c r="H33" s="106"/>
      <c r="I33" s="106"/>
      <c r="J33" s="106"/>
      <c r="K33" s="103"/>
      <c r="L33" s="129"/>
      <c r="M33" s="132"/>
      <c r="N33" s="118"/>
      <c r="O33" s="121"/>
      <c r="P33" s="29">
        <f>IFERROR(L31/SUM(N31:O33),0)</f>
        <v>0</v>
      </c>
      <c r="Q33" s="10"/>
    </row>
    <row r="34" spans="1:17">
      <c r="F34" s="4"/>
      <c r="G34" s="4"/>
      <c r="H34" s="4"/>
      <c r="I34" s="4"/>
      <c r="J34" s="4"/>
      <c r="K34" s="4"/>
      <c r="L34" s="4"/>
      <c r="M34" s="4"/>
      <c r="N34" s="4"/>
      <c r="O34" s="4"/>
      <c r="P34" s="4"/>
      <c r="Q34" s="4"/>
    </row>
    <row r="35" spans="1:17">
      <c r="C35" s="1"/>
      <c r="D35" s="1"/>
      <c r="E35" s="4"/>
      <c r="F35" s="4"/>
      <c r="G35" s="4"/>
      <c r="H35" s="4"/>
      <c r="I35" s="4"/>
      <c r="J35" s="4"/>
      <c r="K35" s="4"/>
      <c r="L35" s="4"/>
      <c r="M35" s="4"/>
      <c r="N35" s="4"/>
      <c r="O35" s="4"/>
      <c r="P35" s="4"/>
      <c r="Q35" s="4"/>
    </row>
    <row r="36" spans="1:17">
      <c r="F36" s="4"/>
      <c r="G36" s="4"/>
      <c r="H36" s="4"/>
      <c r="I36" s="4"/>
      <c r="J36" s="4"/>
      <c r="K36" s="4"/>
      <c r="L36" s="4"/>
      <c r="M36" s="4"/>
      <c r="N36" s="4"/>
      <c r="O36" s="4"/>
      <c r="P36" s="4"/>
      <c r="Q36" s="4"/>
    </row>
    <row r="37" spans="1:17">
      <c r="F37" s="4"/>
      <c r="G37" s="4"/>
      <c r="H37" s="4"/>
      <c r="I37" s="4"/>
      <c r="J37" s="4"/>
      <c r="K37" s="4"/>
      <c r="L37" s="4"/>
      <c r="M37" s="4"/>
      <c r="N37" s="4"/>
      <c r="O37" s="4"/>
      <c r="P37" s="4"/>
      <c r="Q37" s="4"/>
    </row>
    <row r="38" spans="1:17">
      <c r="Q38" s="10"/>
    </row>
    <row r="39" spans="1:17">
      <c r="Q39" s="10"/>
    </row>
    <row r="40" spans="1:17">
      <c r="Q40" s="10"/>
    </row>
    <row r="41" spans="1:17">
      <c r="Q41" s="10"/>
    </row>
    <row r="42" spans="1:17">
      <c r="Q42" s="10"/>
    </row>
    <row r="43" spans="1:17">
      <c r="Q43" s="10"/>
    </row>
  </sheetData>
  <mergeCells count="175">
    <mergeCell ref="O1:O3"/>
    <mergeCell ref="P1:P3"/>
    <mergeCell ref="A4:A6"/>
    <mergeCell ref="B4:B6"/>
    <mergeCell ref="C4:C6"/>
    <mergeCell ref="D4:D6"/>
    <mergeCell ref="E4:E6"/>
    <mergeCell ref="F4:F6"/>
    <mergeCell ref="G4:G6"/>
    <mergeCell ref="H4:H6"/>
    <mergeCell ref="H1:H3"/>
    <mergeCell ref="J1:J3"/>
    <mergeCell ref="K1:K3"/>
    <mergeCell ref="L1:L3"/>
    <mergeCell ref="M1:M3"/>
    <mergeCell ref="N1:N3"/>
    <mergeCell ref="B1:B3"/>
    <mergeCell ref="C1:C3"/>
    <mergeCell ref="D1:D3"/>
    <mergeCell ref="E1:E3"/>
    <mergeCell ref="F1:F3"/>
    <mergeCell ref="G1:G3"/>
    <mergeCell ref="P4:P5"/>
    <mergeCell ref="J4:J6"/>
    <mergeCell ref="A7:A9"/>
    <mergeCell ref="B7:B9"/>
    <mergeCell ref="C7:C9"/>
    <mergeCell ref="D7:D9"/>
    <mergeCell ref="E7:E9"/>
    <mergeCell ref="F7:F9"/>
    <mergeCell ref="G7:G9"/>
    <mergeCell ref="H7:H9"/>
    <mergeCell ref="J7:J9"/>
    <mergeCell ref="K4:K6"/>
    <mergeCell ref="L4:L6"/>
    <mergeCell ref="M4:M6"/>
    <mergeCell ref="N4:N6"/>
    <mergeCell ref="O4:O6"/>
    <mergeCell ref="F10:F12"/>
    <mergeCell ref="O13:O15"/>
    <mergeCell ref="P13:P14"/>
    <mergeCell ref="K7:K9"/>
    <mergeCell ref="L7:L9"/>
    <mergeCell ref="M7:M9"/>
    <mergeCell ref="N7:N9"/>
    <mergeCell ref="O7:O9"/>
    <mergeCell ref="P7:P8"/>
    <mergeCell ref="J13:J15"/>
    <mergeCell ref="K13:K15"/>
    <mergeCell ref="L13:L15"/>
    <mergeCell ref="M13:M15"/>
    <mergeCell ref="N13:N15"/>
    <mergeCell ref="G16:G18"/>
    <mergeCell ref="H16:H18"/>
    <mergeCell ref="H13:H15"/>
    <mergeCell ref="N10:N12"/>
    <mergeCell ref="O10:O12"/>
    <mergeCell ref="P10:P11"/>
    <mergeCell ref="A13:A15"/>
    <mergeCell ref="B13:B15"/>
    <mergeCell ref="C13:C15"/>
    <mergeCell ref="D13:D15"/>
    <mergeCell ref="E13:E15"/>
    <mergeCell ref="F13:F15"/>
    <mergeCell ref="G13:G15"/>
    <mergeCell ref="G10:G12"/>
    <mergeCell ref="H10:H12"/>
    <mergeCell ref="J10:J12"/>
    <mergeCell ref="K10:K12"/>
    <mergeCell ref="L10:L12"/>
    <mergeCell ref="M10:M12"/>
    <mergeCell ref="A10:A12"/>
    <mergeCell ref="B10:B12"/>
    <mergeCell ref="C10:C12"/>
    <mergeCell ref="D10:D12"/>
    <mergeCell ref="E10:E12"/>
    <mergeCell ref="K19:K21"/>
    <mergeCell ref="L19:L21"/>
    <mergeCell ref="M19:M21"/>
    <mergeCell ref="N19:N21"/>
    <mergeCell ref="O19:O21"/>
    <mergeCell ref="P19:P20"/>
    <mergeCell ref="P16:P17"/>
    <mergeCell ref="A19:A21"/>
    <mergeCell ref="B19:B21"/>
    <mergeCell ref="C19:C21"/>
    <mergeCell ref="D19:D21"/>
    <mergeCell ref="E19:E21"/>
    <mergeCell ref="F19:F21"/>
    <mergeCell ref="G19:G21"/>
    <mergeCell ref="H19:H21"/>
    <mergeCell ref="J19:J21"/>
    <mergeCell ref="J16:J18"/>
    <mergeCell ref="K16:K18"/>
    <mergeCell ref="L16:L18"/>
    <mergeCell ref="M16:M18"/>
    <mergeCell ref="N16:N18"/>
    <mergeCell ref="O16:O18"/>
    <mergeCell ref="A16:A18"/>
    <mergeCell ref="B16:B18"/>
    <mergeCell ref="C16:C18"/>
    <mergeCell ref="D16:D18"/>
    <mergeCell ref="E16:E18"/>
    <mergeCell ref="F16:F18"/>
    <mergeCell ref="N22:N24"/>
    <mergeCell ref="O22:O24"/>
    <mergeCell ref="P22:P23"/>
    <mergeCell ref="A28:A30"/>
    <mergeCell ref="B28:B30"/>
    <mergeCell ref="C28:C30"/>
    <mergeCell ref="D28:D30"/>
    <mergeCell ref="E28:E30"/>
    <mergeCell ref="F28:F30"/>
    <mergeCell ref="G28:G30"/>
    <mergeCell ref="G22:G24"/>
    <mergeCell ref="H22:H24"/>
    <mergeCell ref="J22:J24"/>
    <mergeCell ref="K22:K24"/>
    <mergeCell ref="L22:L24"/>
    <mergeCell ref="M22:M24"/>
    <mergeCell ref="A22:A24"/>
    <mergeCell ref="B22:B24"/>
    <mergeCell ref="C22:C24"/>
    <mergeCell ref="D22:D24"/>
    <mergeCell ref="E22:E24"/>
    <mergeCell ref="F22:F24"/>
    <mergeCell ref="A31:A33"/>
    <mergeCell ref="B31:B33"/>
    <mergeCell ref="C31:C33"/>
    <mergeCell ref="D31:D33"/>
    <mergeCell ref="E31:E33"/>
    <mergeCell ref="F31:F33"/>
    <mergeCell ref="G31:G33"/>
    <mergeCell ref="A25:A27"/>
    <mergeCell ref="B25:B27"/>
    <mergeCell ref="C25:C27"/>
    <mergeCell ref="D25:D27"/>
    <mergeCell ref="E25:E27"/>
    <mergeCell ref="F25:F27"/>
    <mergeCell ref="G25:G27"/>
    <mergeCell ref="H31:H33"/>
    <mergeCell ref="H28:H30"/>
    <mergeCell ref="P31:P32"/>
    <mergeCell ref="J31:J33"/>
    <mergeCell ref="K31:K33"/>
    <mergeCell ref="L31:L33"/>
    <mergeCell ref="M31:M33"/>
    <mergeCell ref="N31:N33"/>
    <mergeCell ref="O31:O33"/>
    <mergeCell ref="O28:O30"/>
    <mergeCell ref="P28:P29"/>
    <mergeCell ref="J28:J30"/>
    <mergeCell ref="K28:K30"/>
    <mergeCell ref="L28:L30"/>
    <mergeCell ref="M28:M30"/>
    <mergeCell ref="N28:N30"/>
    <mergeCell ref="I31:I33"/>
    <mergeCell ref="I1:I3"/>
    <mergeCell ref="I4:I6"/>
    <mergeCell ref="I7:I9"/>
    <mergeCell ref="I10:I12"/>
    <mergeCell ref="I13:I15"/>
    <mergeCell ref="I16:I18"/>
    <mergeCell ref="I19:I21"/>
    <mergeCell ref="I22:I24"/>
    <mergeCell ref="I28:I30"/>
    <mergeCell ref="H25:H27"/>
    <mergeCell ref="I25:I27"/>
    <mergeCell ref="J25:J27"/>
    <mergeCell ref="K25:K27"/>
    <mergeCell ref="L25:L27"/>
    <mergeCell ref="M25:M27"/>
    <mergeCell ref="N25:N27"/>
    <mergeCell ref="O25:O27"/>
    <mergeCell ref="P25:P26"/>
  </mergeCells>
  <conditionalFormatting sqref="B4:K33">
    <cfRule type="cellIs" priority="15" operator="equal">
      <formula>""</formula>
    </cfRule>
    <cfRule type="expression" dxfId="3" priority="16" stopIfTrue="1">
      <formula>OFFSET($A$2,(COLUMN()-1)*3-1,(ROW()+2)/3-1,1,1)&lt;&gt;CONCATENATE(RIGHT(B4,1),MID(B4,2,1),LEFT(B4,1))</formula>
    </cfRule>
    <cfRule type="cellIs" dxfId="2" priority="17" stopIfTrue="1" operator="equal">
      <formula>0</formula>
    </cfRule>
  </conditionalFormatting>
  <conditionalFormatting sqref="P31 P28 P25 P22 P19 P16 P13 P10 P7 P4">
    <cfRule type="iconSet" priority="14">
      <iconSet iconSet="3Arrows" reverse="1">
        <cfvo type="percent" val="0"/>
        <cfvo type="num" val="2" gte="0"/>
        <cfvo type="num" val="MIN(($A$3-2),(MAX($P$4:$P$33)))"/>
      </iconSet>
    </cfRule>
  </conditionalFormatting>
  <dataValidations count="1">
    <dataValidation type="list" allowBlank="1" showInputMessage="1" showErrorMessage="1" sqref="B4:K33" xr:uid="{00000000-0002-0000-0C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84" orientation="landscape" r:id="rId1"/>
  <headerFooter>
    <oddHeader>&amp;C&amp;A</oddHeader>
    <oddFooter>&amp;LPrepared by City Squash Club&amp;C&amp;F&amp;R&amp;D</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T40"/>
  <sheetViews>
    <sheetView workbookViewId="0">
      <selection activeCell="B4" sqref="B4:B6"/>
    </sheetView>
  </sheetViews>
  <sheetFormatPr baseColWidth="10" defaultColWidth="8.83203125" defaultRowHeight="15"/>
  <cols>
    <col min="1" max="5" width="12.33203125" customWidth="1"/>
    <col min="6" max="8" width="12.33203125" hidden="1" customWidth="1"/>
    <col min="9" max="10" width="12.33203125" customWidth="1"/>
    <col min="11" max="11" width="10.6640625" customWidth="1"/>
    <col min="12" max="14" width="8.5" customWidth="1"/>
    <col min="15" max="15" width="10.6640625" customWidth="1"/>
    <col min="16" max="16" width="10" customWidth="1"/>
    <col min="17" max="17" width="10.6640625" style="4" customWidth="1"/>
  </cols>
  <sheetData>
    <row r="1" spans="1:18" ht="15.75" customHeight="1">
      <c r="A1" s="21"/>
      <c r="B1" s="98" t="e">
        <f t="shared" ref="B1:J1" ca="1" si="0">VLOOKUP(CONCATENATE(LEFT($A$2,3),COLUMN()-1),nevezettek,3,FALSE)</f>
        <v>#N/A</v>
      </c>
      <c r="C1" s="98" t="e">
        <f t="shared" ca="1" si="0"/>
        <v>#N/A</v>
      </c>
      <c r="D1" s="98" t="e">
        <f t="shared" ca="1" si="0"/>
        <v>#N/A</v>
      </c>
      <c r="E1" s="98" t="e">
        <f t="shared" ca="1" si="0"/>
        <v>#N/A</v>
      </c>
      <c r="F1" s="98" t="e">
        <f t="shared" ca="1" si="0"/>
        <v>#N/A</v>
      </c>
      <c r="G1" s="98" t="e">
        <f t="shared" ca="1" si="0"/>
        <v>#N/A</v>
      </c>
      <c r="H1" s="98" t="e">
        <f t="shared" ca="1" si="0"/>
        <v>#N/A</v>
      </c>
      <c r="I1" s="98" t="e">
        <f t="shared" ca="1" si="0"/>
        <v>#N/A</v>
      </c>
      <c r="J1" s="98" t="e">
        <f t="shared" ca="1" si="0"/>
        <v>#N/A</v>
      </c>
      <c r="K1" s="110" t="s">
        <v>31</v>
      </c>
      <c r="L1" s="113" t="s">
        <v>59</v>
      </c>
      <c r="M1" s="89" t="s">
        <v>58</v>
      </c>
      <c r="N1" s="92" t="s">
        <v>65</v>
      </c>
      <c r="O1" s="95" t="s">
        <v>6</v>
      </c>
      <c r="P1" s="4"/>
    </row>
    <row r="2" spans="1:18">
      <c r="A2" s="22" t="str">
        <f ca="1">RIGHT(CELL("filename",A1),8)</f>
        <v>Női liga</v>
      </c>
      <c r="B2" s="99"/>
      <c r="C2" s="99"/>
      <c r="D2" s="99"/>
      <c r="E2" s="99"/>
      <c r="F2" s="99"/>
      <c r="G2" s="99"/>
      <c r="H2" s="99"/>
      <c r="I2" s="99"/>
      <c r="J2" s="99"/>
      <c r="K2" s="111"/>
      <c r="L2" s="114"/>
      <c r="M2" s="90"/>
      <c r="N2" s="93"/>
      <c r="O2" s="96"/>
      <c r="P2" s="4"/>
    </row>
    <row r="3" spans="1:18">
      <c r="A3" s="23">
        <f ca="1">COUNTIF(Ligabeosztas!D:D,LEFT(A2,1))</f>
        <v>0</v>
      </c>
      <c r="B3" s="100"/>
      <c r="C3" s="100"/>
      <c r="D3" s="100"/>
      <c r="E3" s="100"/>
      <c r="F3" s="100"/>
      <c r="G3" s="100"/>
      <c r="H3" s="100"/>
      <c r="I3" s="100"/>
      <c r="J3" s="100"/>
      <c r="K3" s="112"/>
      <c r="L3" s="115"/>
      <c r="M3" s="91"/>
      <c r="N3" s="94"/>
      <c r="O3" s="97"/>
      <c r="P3" s="4"/>
      <c r="Q3" s="24"/>
    </row>
    <row r="4" spans="1:18" ht="15" customHeight="1">
      <c r="A4" s="98" t="e">
        <f ca="1">B1</f>
        <v>#N/A</v>
      </c>
      <c r="B4" s="101"/>
      <c r="C4" s="104"/>
      <c r="D4" s="104"/>
      <c r="E4" s="104"/>
      <c r="F4" s="104"/>
      <c r="G4" s="104"/>
      <c r="H4" s="104"/>
      <c r="I4" s="104"/>
      <c r="J4" s="124"/>
      <c r="K4" s="127">
        <f>5*(COUNTIF(B4:J6,"5/0")+COUNTIF(B4:J6,"4/1")+COUNTIF(B4:J6,"3/2")+COUNTIF(B4:J6,"5/-"))+3*COUNTIF(B4:J6,"2/3")+2*COUNTIF(B4:J6,"1/4")+COUNTIF(B4:J6,"0/5")+0.01*L4+0.0001*(M4-N4)</f>
        <v>0</v>
      </c>
      <c r="L4" s="130">
        <f>1*COUNTIF(B4:J6,"5/0")+1*COUNTIF(B4:J6,"4/1")+1*COUNTIF(B4:J6,"3/2")+1*COUNTIF(B4:J6,"5/-")+0*COUNTIF(B4:J6,"2/3")+0*COUNTIF(B4:J6,"1/4")+0*COUNTIF(B4:J6,"0/5")</f>
        <v>0</v>
      </c>
      <c r="M4" s="116">
        <f>5*COUNTIF(B4:J6,"5/0")+4*COUNTIF(B4:J6,"4/1")+3*COUNTIF(B4:J6,"3/2")+5*COUNTIF(B4:J6,"5/-")+2*COUNTIF(B4:J6,"2/3")+1*COUNTIF(B4:J6,"1/4")+0*COUNTIF(B4:J6,"0/5")</f>
        <v>0</v>
      </c>
      <c r="N4" s="119">
        <f>0*COUNTIF(B4:J6,"5/0")+1*COUNTIF(B4:J6,"4/1")+2*COUNTIF(B4:J6,"3/2")+3*COUNTIF(B4:J6,"2/3")+4*COUNTIF(B4:J6,"1/4")+5*COUNTIF(B4:J6,"0/5")+5*COUNTIF(B4:J6,"-/5")</f>
        <v>0</v>
      </c>
      <c r="O4" s="148">
        <f>RANK(K4,K$4:K$30)</f>
        <v>1</v>
      </c>
      <c r="P4" s="9"/>
    </row>
    <row r="5" spans="1:18">
      <c r="A5" s="99"/>
      <c r="B5" s="102"/>
      <c r="C5" s="105"/>
      <c r="D5" s="105"/>
      <c r="E5" s="105"/>
      <c r="F5" s="105"/>
      <c r="G5" s="105"/>
      <c r="H5" s="105"/>
      <c r="I5" s="105"/>
      <c r="J5" s="125"/>
      <c r="K5" s="128"/>
      <c r="L5" s="131"/>
      <c r="M5" s="117"/>
      <c r="N5" s="120"/>
      <c r="O5" s="149"/>
      <c r="P5" s="4"/>
    </row>
    <row r="6" spans="1:18">
      <c r="A6" s="100"/>
      <c r="B6" s="103"/>
      <c r="C6" s="106"/>
      <c r="D6" s="106"/>
      <c r="E6" s="106"/>
      <c r="F6" s="106"/>
      <c r="G6" s="106"/>
      <c r="H6" s="106"/>
      <c r="I6" s="106"/>
      <c r="J6" s="126"/>
      <c r="K6" s="129"/>
      <c r="L6" s="132"/>
      <c r="M6" s="118"/>
      <c r="N6" s="121"/>
      <c r="O6" s="150"/>
      <c r="P6" s="10"/>
    </row>
    <row r="7" spans="1:18">
      <c r="A7" s="98" t="e">
        <f ca="1">C1</f>
        <v>#N/A</v>
      </c>
      <c r="B7" s="104"/>
      <c r="C7" s="101"/>
      <c r="D7" s="104"/>
      <c r="E7" s="104"/>
      <c r="F7" s="104"/>
      <c r="G7" s="104"/>
      <c r="H7" s="104"/>
      <c r="I7" s="104"/>
      <c r="J7" s="124"/>
      <c r="K7" s="127">
        <f>5*(COUNTIF(B7:J9,"5/0")+COUNTIF(B7:J9,"4/1")+COUNTIF(B7:J9,"3/2")+COUNTIF(B7:J9,"5/-"))+3*COUNTIF(B7:J9,"2/3")+2*COUNTIF(B7:J9,"1/4")+COUNTIF(B7:J9,"0/5")+0.01*L7+0.0001*(M7-N7)</f>
        <v>0</v>
      </c>
      <c r="L7" s="130">
        <f>1*COUNTIF(B7:J9,"5/0")+1*COUNTIF(B7:J9,"4/1")+1*COUNTIF(B7:J9,"3/2")+1*COUNTIF(B7:J9,"5/-")+0*COUNTIF(B7:J9,"2/3")+0*COUNTIF(B7:J9,"1/4")+0*COUNTIF(B7:J9,"0/5")</f>
        <v>0</v>
      </c>
      <c r="M7" s="116">
        <f>5*COUNTIF(B7:J9,"5/0")+4*COUNTIF(B7:J9,"4/1")+3*COUNTIF(B7:J9,"3/2")+5*COUNTIF(B7:J9,"5/-")+2*COUNTIF(B7:J9,"2/3")+1*COUNTIF(B7:J9,"1/4")+0*COUNTIF(B7:J9,"0/5")</f>
        <v>0</v>
      </c>
      <c r="N7" s="119">
        <f>0*COUNTIF(B7:J9,"5/0")+1*COUNTIF(B7:J9,"4/1")+2*COUNTIF(B7:J9,"3/2")+3*COUNTIF(B7:J9,"2/3")+4*COUNTIF(B7:J9,"1/4")+5*COUNTIF(B7:J9,"0/5")+5*COUNTIF(B7:J9,"-/5")</f>
        <v>0</v>
      </c>
      <c r="O7" s="148">
        <f>RANK(K7,K$4:K$30)</f>
        <v>1</v>
      </c>
      <c r="P7" s="10"/>
      <c r="R7" s="5"/>
    </row>
    <row r="8" spans="1:18">
      <c r="A8" s="99"/>
      <c r="B8" s="105"/>
      <c r="C8" s="102"/>
      <c r="D8" s="105"/>
      <c r="E8" s="105"/>
      <c r="F8" s="105"/>
      <c r="G8" s="105"/>
      <c r="H8" s="105"/>
      <c r="I8" s="105"/>
      <c r="J8" s="125"/>
      <c r="K8" s="128"/>
      <c r="L8" s="131"/>
      <c r="M8" s="117"/>
      <c r="N8" s="120"/>
      <c r="O8" s="149"/>
      <c r="P8" s="2"/>
      <c r="R8" s="5"/>
    </row>
    <row r="9" spans="1:18">
      <c r="A9" s="100"/>
      <c r="B9" s="106"/>
      <c r="C9" s="103"/>
      <c r="D9" s="106"/>
      <c r="E9" s="106"/>
      <c r="F9" s="106"/>
      <c r="G9" s="106"/>
      <c r="H9" s="106"/>
      <c r="I9" s="106"/>
      <c r="J9" s="126"/>
      <c r="K9" s="129"/>
      <c r="L9" s="132"/>
      <c r="M9" s="118"/>
      <c r="N9" s="121"/>
      <c r="O9" s="150"/>
      <c r="P9" s="10"/>
      <c r="R9" s="8"/>
    </row>
    <row r="10" spans="1:18">
      <c r="A10" s="98" t="e">
        <f ca="1">D1</f>
        <v>#N/A</v>
      </c>
      <c r="B10" s="104"/>
      <c r="C10" s="104"/>
      <c r="D10" s="101"/>
      <c r="E10" s="104"/>
      <c r="F10" s="104"/>
      <c r="G10" s="104"/>
      <c r="H10" s="104"/>
      <c r="I10" s="104"/>
      <c r="J10" s="124"/>
      <c r="K10" s="127">
        <f>5*(COUNTIF(B10:J12,"5/0")+COUNTIF(B10:J12,"4/1")+COUNTIF(B10:J12,"3/2")+COUNTIF(B10:J12,"5/-"))+3*COUNTIF(B10:J12,"2/3")+2*COUNTIF(B10:J12,"1/4")+COUNTIF(B10:J12,"0/5")+0.01*L10+0.0001*(M10-N10)</f>
        <v>0</v>
      </c>
      <c r="L10" s="130">
        <f>1*COUNTIF(B10:J12,"5/0")+1*COUNTIF(B10:J12,"4/1")+1*COUNTIF(B10:J12,"3/2")+1*COUNTIF(B10:J12,"5/-")+0*COUNTIF(B10:J12,"2/3")+0*COUNTIF(B10:J12,"1/4")+0*COUNTIF(B10:J12,"0/5")</f>
        <v>0</v>
      </c>
      <c r="M10" s="116">
        <f>5*COUNTIF(B10:J12,"5/0")+4*COUNTIF(B10:J12,"4/1")+3*COUNTIF(B10:J12,"3/2")+5*COUNTIF(B10:J12,"5/-")+2*COUNTIF(B10:J12,"2/3")+1*COUNTIF(B10:J12,"1/4")+0*COUNTIF(B10:J12,"0/5")</f>
        <v>0</v>
      </c>
      <c r="N10" s="119">
        <f>0*COUNTIF(B10:J12,"5/0")+1*COUNTIF(B10:J12,"4/1")+2*COUNTIF(B10:J12,"3/2")+3*COUNTIF(B10:J12,"2/3")+4*COUNTIF(B10:J12,"1/4")+5*COUNTIF(B10:J12,"0/5")+5*COUNTIF(B10:J12,"-/5")</f>
        <v>0</v>
      </c>
      <c r="O10" s="148">
        <f>RANK(K10,K$4:K$30)</f>
        <v>1</v>
      </c>
      <c r="P10" s="10"/>
    </row>
    <row r="11" spans="1:18">
      <c r="A11" s="99"/>
      <c r="B11" s="105"/>
      <c r="C11" s="105"/>
      <c r="D11" s="102"/>
      <c r="E11" s="105"/>
      <c r="F11" s="105"/>
      <c r="G11" s="105"/>
      <c r="H11" s="105"/>
      <c r="I11" s="105"/>
      <c r="J11" s="125"/>
      <c r="K11" s="128"/>
      <c r="L11" s="131"/>
      <c r="M11" s="117"/>
      <c r="N11" s="120"/>
      <c r="O11" s="149"/>
      <c r="P11" s="1"/>
      <c r="R11" s="6"/>
    </row>
    <row r="12" spans="1:18">
      <c r="A12" s="100"/>
      <c r="B12" s="106"/>
      <c r="C12" s="106"/>
      <c r="D12" s="103"/>
      <c r="E12" s="106"/>
      <c r="F12" s="106"/>
      <c r="G12" s="106"/>
      <c r="H12" s="106"/>
      <c r="I12" s="106"/>
      <c r="J12" s="126"/>
      <c r="K12" s="129"/>
      <c r="L12" s="132"/>
      <c r="M12" s="118"/>
      <c r="N12" s="121"/>
      <c r="O12" s="150"/>
      <c r="P12" s="10"/>
    </row>
    <row r="13" spans="1:18">
      <c r="A13" s="98" t="e">
        <f ca="1">E1</f>
        <v>#N/A</v>
      </c>
      <c r="B13" s="104"/>
      <c r="C13" s="104"/>
      <c r="D13" s="104"/>
      <c r="E13" s="101"/>
      <c r="F13" s="104"/>
      <c r="G13" s="104"/>
      <c r="H13" s="104"/>
      <c r="I13" s="104"/>
      <c r="J13" s="124"/>
      <c r="K13" s="127">
        <f>5*(COUNTIF(B13:J15,"5/0")+COUNTIF(B13:J15,"4/1")+COUNTIF(B13:J15,"3/2")+COUNTIF(B13:J15,"5/-"))+3*COUNTIF(B13:J15,"2/3")+2*COUNTIF(B13:J15,"1/4")+COUNTIF(B13:J15,"0/5")+0.01*L13+0.0001*(M13-N13)</f>
        <v>0</v>
      </c>
      <c r="L13" s="130">
        <f>1*COUNTIF(B13:J15,"5/0")+1*COUNTIF(B13:J15,"4/1")+1*COUNTIF(B13:J15,"3/2")+1*COUNTIF(B13:J15,"5/-")+0*COUNTIF(B13:J15,"2/3")+0*COUNTIF(B13:J15,"1/4")+0*COUNTIF(B13:J15,"0/5")</f>
        <v>0</v>
      </c>
      <c r="M13" s="116">
        <f>5*COUNTIF(B13:J15,"5/0")+4*COUNTIF(B13:J15,"4/1")+3*COUNTIF(B13:J15,"3/2")+5*COUNTIF(B13:J15,"5/-")+2*COUNTIF(B13:J15,"2/3")+1*COUNTIF(B13:J15,"1/4")+0*COUNTIF(B13:J15,"0/5")</f>
        <v>0</v>
      </c>
      <c r="N13" s="119">
        <f>0*COUNTIF(B13:J15,"5/0")+1*COUNTIF(B13:J15,"4/1")+2*COUNTIF(B13:J15,"3/2")+3*COUNTIF(B13:J15,"2/3")+4*COUNTIF(B13:J15,"1/4")+5*COUNTIF(B13:J15,"0/5")+5*COUNTIF(B13:J15,"-/5")</f>
        <v>0</v>
      </c>
      <c r="O13" s="148">
        <f>RANK(K13,K$4:K$30)</f>
        <v>1</v>
      </c>
      <c r="P13" s="10"/>
    </row>
    <row r="14" spans="1:18">
      <c r="A14" s="99"/>
      <c r="B14" s="105"/>
      <c r="C14" s="105"/>
      <c r="D14" s="105"/>
      <c r="E14" s="102"/>
      <c r="F14" s="105"/>
      <c r="G14" s="105"/>
      <c r="H14" s="105"/>
      <c r="I14" s="105"/>
      <c r="J14" s="125"/>
      <c r="K14" s="128"/>
      <c r="L14" s="131"/>
      <c r="M14" s="117"/>
      <c r="N14" s="120"/>
      <c r="O14" s="149"/>
      <c r="P14" s="4"/>
      <c r="R14" s="6"/>
    </row>
    <row r="15" spans="1:18">
      <c r="A15" s="100"/>
      <c r="B15" s="106"/>
      <c r="C15" s="106"/>
      <c r="D15" s="106"/>
      <c r="E15" s="103"/>
      <c r="F15" s="106"/>
      <c r="G15" s="106"/>
      <c r="H15" s="106"/>
      <c r="I15" s="106"/>
      <c r="J15" s="126"/>
      <c r="K15" s="129"/>
      <c r="L15" s="132"/>
      <c r="M15" s="118"/>
      <c r="N15" s="121"/>
      <c r="O15" s="150"/>
      <c r="P15" s="10"/>
    </row>
    <row r="16" spans="1:18" hidden="1">
      <c r="A16" s="98" t="e">
        <f ca="1">F1</f>
        <v>#N/A</v>
      </c>
      <c r="B16" s="104"/>
      <c r="C16" s="104"/>
      <c r="D16" s="104"/>
      <c r="E16" s="104"/>
      <c r="F16" s="101"/>
      <c r="G16" s="104"/>
      <c r="H16" s="104"/>
      <c r="I16" s="104"/>
      <c r="J16" s="124"/>
      <c r="K16" s="127">
        <f>5*(COUNTIF(B16:J18,"5/0")+COUNTIF(B16:J18,"4/1")+COUNTIF(B16:J18,"3/2")+COUNTIF(B16:J18,"5/-"))+3*COUNTIF(B16:J18,"2/3")+2*COUNTIF(B16:J18,"1/4")+COUNTIF(B16:J18,"0/5")+0.01*L16+0.0001*(M16-N16)</f>
        <v>0</v>
      </c>
      <c r="L16" s="130">
        <f>1*COUNTIF(B16:J18,"5/0")+1*COUNTIF(B16:J18,"4/1")+1*COUNTIF(B16:J18,"3/2")+1*COUNTIF(B16:J18,"5/-")+0*COUNTIF(B16:J18,"2/3")+0*COUNTIF(B16:J18,"1/4")+0*COUNTIF(B16:J18,"0/5")</f>
        <v>0</v>
      </c>
      <c r="M16" s="116">
        <f>5*COUNTIF(B16:J18,"5/0")+4*COUNTIF(B16:J18,"4/1")+3*COUNTIF(B16:J18,"3/2")+5*COUNTIF(B16:J18,"5/-")+2*COUNTIF(B16:J18,"2/3")+1*COUNTIF(B16:J18,"1/4")+0*COUNTIF(B16:J18,"0/5")</f>
        <v>0</v>
      </c>
      <c r="N16" s="119">
        <f>0*COUNTIF(B16:J18,"5/0")+1*COUNTIF(B16:J18,"4/1")+2*COUNTIF(B16:J18,"3/2")+3*COUNTIF(B16:J18,"2/3")+4*COUNTIF(B16:J18,"1/4")+5*COUNTIF(B16:J18,"0/5")+5*COUNTIF(B16:J18,"-/5")</f>
        <v>0</v>
      </c>
      <c r="O16" s="148">
        <f>RANK(K16,K$4:K$30)</f>
        <v>1</v>
      </c>
      <c r="P16" s="10"/>
    </row>
    <row r="17" spans="1:20" hidden="1">
      <c r="A17" s="99"/>
      <c r="B17" s="105"/>
      <c r="C17" s="105"/>
      <c r="D17" s="105"/>
      <c r="E17" s="105"/>
      <c r="F17" s="102"/>
      <c r="G17" s="105"/>
      <c r="H17" s="105"/>
      <c r="I17" s="105"/>
      <c r="J17" s="125"/>
      <c r="K17" s="128"/>
      <c r="L17" s="131"/>
      <c r="M17" s="117"/>
      <c r="N17" s="120"/>
      <c r="O17" s="149"/>
      <c r="P17" s="4"/>
    </row>
    <row r="18" spans="1:20" hidden="1">
      <c r="A18" s="100"/>
      <c r="B18" s="106"/>
      <c r="C18" s="106"/>
      <c r="D18" s="106"/>
      <c r="E18" s="106"/>
      <c r="F18" s="103"/>
      <c r="G18" s="106"/>
      <c r="H18" s="106"/>
      <c r="I18" s="106"/>
      <c r="J18" s="126"/>
      <c r="K18" s="129"/>
      <c r="L18" s="132"/>
      <c r="M18" s="118"/>
      <c r="N18" s="121"/>
      <c r="O18" s="150"/>
      <c r="P18" s="10"/>
    </row>
    <row r="19" spans="1:20" hidden="1">
      <c r="A19" s="98" t="e">
        <f ca="1">G1</f>
        <v>#N/A</v>
      </c>
      <c r="B19" s="104"/>
      <c r="C19" s="104"/>
      <c r="D19" s="104"/>
      <c r="E19" s="104"/>
      <c r="F19" s="104"/>
      <c r="G19" s="101"/>
      <c r="H19" s="104"/>
      <c r="I19" s="104"/>
      <c r="J19" s="124"/>
      <c r="K19" s="127">
        <f>5*(COUNTIF(B19:J21,"5/0")+COUNTIF(B19:J21,"4/1")+COUNTIF(B19:J21,"3/2")+COUNTIF(B19:J21,"5/-"))+3*COUNTIF(B19:J21,"2/3")+2*COUNTIF(B19:J21,"1/4")+COUNTIF(B19:J21,"0/5")+0.01*L19+0.0001*(M19-N19)</f>
        <v>0</v>
      </c>
      <c r="L19" s="130">
        <f>1*COUNTIF(B19:J21,"5/0")+1*COUNTIF(B19:J21,"4/1")+1*COUNTIF(B19:J21,"3/2")+1*COUNTIF(B19:J21,"5/-")+0*COUNTIF(B19:J21,"2/3")+0*COUNTIF(B19:J21,"1/4")+0*COUNTIF(B19:J21,"0/5")</f>
        <v>0</v>
      </c>
      <c r="M19" s="116">
        <f>5*COUNTIF(B19:J21,"5/0")+4*COUNTIF(B19:J21,"4/1")+3*COUNTIF(B19:J21,"3/2")+5*COUNTIF(B19:J21,"5/-")+2*COUNTIF(B19:J21,"2/3")+1*COUNTIF(B19:J21,"1/4")+0*COUNTIF(B19:J21,"0/5")</f>
        <v>0</v>
      </c>
      <c r="N19" s="119">
        <f>0*COUNTIF(B19:J21,"5/0")+1*COUNTIF(B19:J21,"4/1")+2*COUNTIF(B19:J21,"3/2")+3*COUNTIF(B19:J21,"2/3")+4*COUNTIF(B19:J21,"1/4")+5*COUNTIF(B19:J21,"0/5")+5*COUNTIF(B19:J21,"-/5")</f>
        <v>0</v>
      </c>
      <c r="O19" s="148">
        <f>RANK(K19,K$4:K$30)</f>
        <v>1</v>
      </c>
      <c r="P19" s="10"/>
      <c r="R19" s="5"/>
    </row>
    <row r="20" spans="1:20">
      <c r="A20" s="99"/>
      <c r="B20" s="105"/>
      <c r="C20" s="105"/>
      <c r="D20" s="105"/>
      <c r="E20" s="105"/>
      <c r="F20" s="105"/>
      <c r="G20" s="102"/>
      <c r="H20" s="105"/>
      <c r="I20" s="105"/>
      <c r="J20" s="125"/>
      <c r="K20" s="128"/>
      <c r="L20" s="131"/>
      <c r="M20" s="117"/>
      <c r="N20" s="120"/>
      <c r="O20" s="149"/>
      <c r="P20" s="1"/>
      <c r="R20" s="5"/>
    </row>
    <row r="21" spans="1:20">
      <c r="A21" s="100"/>
      <c r="B21" s="106"/>
      <c r="C21" s="106"/>
      <c r="D21" s="106"/>
      <c r="E21" s="106"/>
      <c r="F21" s="106"/>
      <c r="G21" s="103"/>
      <c r="H21" s="106"/>
      <c r="I21" s="106"/>
      <c r="J21" s="126"/>
      <c r="K21" s="129"/>
      <c r="L21" s="132"/>
      <c r="M21" s="118"/>
      <c r="N21" s="121"/>
      <c r="O21" s="150"/>
      <c r="P21" s="10"/>
    </row>
    <row r="22" spans="1:20">
      <c r="A22" s="98" t="e">
        <f ca="1">H1</f>
        <v>#N/A</v>
      </c>
      <c r="B22" s="104"/>
      <c r="C22" s="104"/>
      <c r="D22" s="104"/>
      <c r="E22" s="104"/>
      <c r="F22" s="104"/>
      <c r="G22" s="104"/>
      <c r="H22" s="101"/>
      <c r="I22" s="104"/>
      <c r="J22" s="124"/>
      <c r="K22" s="127">
        <f>5*(COUNTIF(B22:J24,"5/0")+COUNTIF(B22:J24,"4/1")+COUNTIF(B22:J24,"3/2")+COUNTIF(B22:J24,"5/-"))+3*COUNTIF(B22:J24,"2/3")+2*COUNTIF(B22:J24,"1/4")+COUNTIF(B22:J24,"0/5")+0.01*L22+0.0001*(M22-N22)</f>
        <v>0</v>
      </c>
      <c r="L22" s="130">
        <f>1*COUNTIF(B22:J24,"5/0")+1*COUNTIF(B22:J24,"4/1")+1*COUNTIF(B22:J24,"3/2")+1*COUNTIF(B22:J24,"5/-")+0*COUNTIF(B22:J24,"2/3")+0*COUNTIF(B22:J24,"1/4")+0*COUNTIF(B22:J24,"0/5")</f>
        <v>0</v>
      </c>
      <c r="M22" s="116">
        <f>5*COUNTIF(B22:J24,"5/0")+4*COUNTIF(B22:J24,"4/1")+3*COUNTIF(B22:J24,"3/2")+5*COUNTIF(B22:J24,"5/-")+2*COUNTIF(B22:J24,"2/3")+1*COUNTIF(B22:J24,"1/4")+0*COUNTIF(B22:J24,"0/5")</f>
        <v>0</v>
      </c>
      <c r="N22" s="119">
        <f>0*COUNTIF(B22:J24,"5/0")+1*COUNTIF(B22:J24,"4/1")+2*COUNTIF(B22:J24,"3/2")+3*COUNTIF(B22:J24,"2/3")+4*COUNTIF(B22:J24,"1/4")+5*COUNTIF(B22:J24,"0/5")+5*COUNTIF(B22:J24,"-/5")</f>
        <v>0</v>
      </c>
      <c r="O22" s="148">
        <f>RANK(K22,K$4:K$30)</f>
        <v>1</v>
      </c>
      <c r="P22" s="10"/>
    </row>
    <row r="23" spans="1:20">
      <c r="A23" s="99"/>
      <c r="B23" s="105"/>
      <c r="C23" s="105"/>
      <c r="D23" s="105"/>
      <c r="E23" s="105"/>
      <c r="F23" s="105"/>
      <c r="G23" s="105"/>
      <c r="H23" s="102"/>
      <c r="I23" s="105"/>
      <c r="J23" s="125"/>
      <c r="K23" s="128"/>
      <c r="L23" s="131"/>
      <c r="M23" s="117"/>
      <c r="N23" s="120"/>
      <c r="O23" s="149"/>
      <c r="P23" s="1"/>
      <c r="R23" s="7"/>
      <c r="T23" s="3"/>
    </row>
    <row r="24" spans="1:20">
      <c r="A24" s="100"/>
      <c r="B24" s="106"/>
      <c r="C24" s="106"/>
      <c r="D24" s="106"/>
      <c r="E24" s="106"/>
      <c r="F24" s="106"/>
      <c r="G24" s="106"/>
      <c r="H24" s="103"/>
      <c r="I24" s="106"/>
      <c r="J24" s="126"/>
      <c r="K24" s="129"/>
      <c r="L24" s="132"/>
      <c r="M24" s="118"/>
      <c r="N24" s="121"/>
      <c r="O24" s="150"/>
      <c r="P24" s="10"/>
    </row>
    <row r="25" spans="1:20">
      <c r="A25" s="98" t="e">
        <f ca="1">I1</f>
        <v>#N/A</v>
      </c>
      <c r="B25" s="104"/>
      <c r="C25" s="104"/>
      <c r="D25" s="104"/>
      <c r="E25" s="104"/>
      <c r="F25" s="104"/>
      <c r="G25" s="104"/>
      <c r="H25" s="104"/>
      <c r="I25" s="101"/>
      <c r="J25" s="124"/>
      <c r="K25" s="127">
        <f>5*(COUNTIF(B25:J27,"5/0")+COUNTIF(B25:J27,"4/1")+COUNTIF(B25:J27,"3/2")+COUNTIF(B25:J27,"5/-"))+3*COUNTIF(B25:J27,"2/3")+2*COUNTIF(B25:J27,"1/4")+COUNTIF(B25:J27,"0/5")+0.01*L25+0.0001*(M25-N25)</f>
        <v>0</v>
      </c>
      <c r="L25" s="130">
        <f>1*COUNTIF(B25:J27,"5/0")+1*COUNTIF(B25:J27,"4/1")+1*COUNTIF(B25:J27,"3/2")+1*COUNTIF(B25:J27,"5/-")+0*COUNTIF(B25:J27,"2/3")+0*COUNTIF(B25:J27,"1/4")+0*COUNTIF(B25:J27,"0/5")</f>
        <v>0</v>
      </c>
      <c r="M25" s="116">
        <f>5*COUNTIF(B25:J27,"5/0")+4*COUNTIF(B25:J27,"4/1")+3*COUNTIF(B25:J27,"3/2")+5*COUNTIF(B25:J27,"5/-")+2*COUNTIF(B25:J27,"2/3")+1*COUNTIF(B25:J27,"1/4")+0*COUNTIF(B25:J27,"0/5")</f>
        <v>0</v>
      </c>
      <c r="N25" s="119">
        <f>0*COUNTIF(B25:J27,"5/0")+1*COUNTIF(B25:J27,"4/1")+2*COUNTIF(B25:J27,"3/2")+3*COUNTIF(B25:J27,"2/3")+4*COUNTIF(B25:J27,"1/4")+5*COUNTIF(B25:J27,"0/5")+5*COUNTIF(B25:J27,"-/5")</f>
        <v>0</v>
      </c>
      <c r="O25" s="148">
        <f>RANK(K25,K$4:K$30)</f>
        <v>1</v>
      </c>
      <c r="P25" s="10"/>
    </row>
    <row r="26" spans="1:20">
      <c r="A26" s="99"/>
      <c r="B26" s="105"/>
      <c r="C26" s="105"/>
      <c r="D26" s="105"/>
      <c r="E26" s="105"/>
      <c r="F26" s="105"/>
      <c r="G26" s="105"/>
      <c r="H26" s="105"/>
      <c r="I26" s="102"/>
      <c r="J26" s="125"/>
      <c r="K26" s="128"/>
      <c r="L26" s="131"/>
      <c r="M26" s="117"/>
      <c r="N26" s="120"/>
      <c r="O26" s="149"/>
      <c r="P26" s="2"/>
    </row>
    <row r="27" spans="1:20">
      <c r="A27" s="100"/>
      <c r="B27" s="106"/>
      <c r="C27" s="106"/>
      <c r="D27" s="106"/>
      <c r="E27" s="106"/>
      <c r="F27" s="106"/>
      <c r="G27" s="106"/>
      <c r="H27" s="106"/>
      <c r="I27" s="103"/>
      <c r="J27" s="126"/>
      <c r="K27" s="129"/>
      <c r="L27" s="132"/>
      <c r="M27" s="118"/>
      <c r="N27" s="121"/>
      <c r="O27" s="150"/>
      <c r="P27" s="10"/>
    </row>
    <row r="28" spans="1:20" ht="15" customHeight="1">
      <c r="A28" s="98" t="e">
        <f ca="1">J1</f>
        <v>#N/A</v>
      </c>
      <c r="B28" s="104"/>
      <c r="C28" s="104"/>
      <c r="D28" s="104"/>
      <c r="E28" s="104"/>
      <c r="F28" s="104"/>
      <c r="G28" s="104"/>
      <c r="H28" s="104"/>
      <c r="I28" s="104"/>
      <c r="J28" s="101"/>
      <c r="K28" s="127">
        <f>5*(COUNTIF(B28:J30,"5/0")+COUNTIF(B28:J30,"4/1")+COUNTIF(B28:J30,"3/2")+COUNTIF(B28:J30,"5/-"))+3*COUNTIF(B28:J30,"2/3")+2*COUNTIF(B28:J30,"1/4")+COUNTIF(B28:J30,"0/5")+0.01*L28+0.0001*(M28-N28)</f>
        <v>0</v>
      </c>
      <c r="L28" s="130">
        <f>1*COUNTIF(B28:J30,"5/0")+1*COUNTIF(B28:J30,"4/1")+1*COUNTIF(B28:J30,"3/2")+1*COUNTIF(B28:J30,"5/-")+0*COUNTIF(B28:J30,"2/3")+0*COUNTIF(B28:J30,"1/4")+0*COUNTIF(B28:J30,"0/5")</f>
        <v>0</v>
      </c>
      <c r="M28" s="116">
        <f>5*COUNTIF(B28:J30,"5/0")+4*COUNTIF(B28:J30,"4/1")+3*COUNTIF(B28:J30,"3/2")+5*COUNTIF(B28:J30,"5/-")+2*COUNTIF(B28:J30,"2/3")+1*COUNTIF(B28:J30,"1/4")+0*COUNTIF(B28:J30,"0/5")</f>
        <v>0</v>
      </c>
      <c r="N28" s="119">
        <f>0*COUNTIF(B28:J30,"5/0")+1*COUNTIF(B28:J30,"4/1")+2*COUNTIF(B28:J30,"3/2")+3*COUNTIF(B28:J30,"2/3")+4*COUNTIF(B28:J30,"1/4")+5*COUNTIF(B28:J30,"0/5")+5*COUNTIF(B28:J30,"-/5")</f>
        <v>0</v>
      </c>
      <c r="O28" s="148">
        <f>RANK(K28,K$4:K$30)</f>
        <v>1</v>
      </c>
      <c r="P28" s="10"/>
    </row>
    <row r="29" spans="1:20" ht="15" customHeight="1">
      <c r="A29" s="99"/>
      <c r="B29" s="105"/>
      <c r="C29" s="105"/>
      <c r="D29" s="105"/>
      <c r="E29" s="105"/>
      <c r="F29" s="105"/>
      <c r="G29" s="105"/>
      <c r="H29" s="105"/>
      <c r="I29" s="105"/>
      <c r="J29" s="102"/>
      <c r="K29" s="128"/>
      <c r="L29" s="131"/>
      <c r="M29" s="117"/>
      <c r="N29" s="120"/>
      <c r="O29" s="149"/>
      <c r="P29" s="2"/>
    </row>
    <row r="30" spans="1:20" ht="15" customHeight="1">
      <c r="A30" s="100"/>
      <c r="B30" s="106"/>
      <c r="C30" s="106"/>
      <c r="D30" s="106"/>
      <c r="E30" s="106"/>
      <c r="F30" s="106"/>
      <c r="G30" s="106"/>
      <c r="H30" s="106"/>
      <c r="I30" s="106"/>
      <c r="J30" s="103"/>
      <c r="K30" s="129"/>
      <c r="L30" s="132"/>
      <c r="M30" s="118"/>
      <c r="N30" s="121"/>
      <c r="O30" s="150"/>
      <c r="P30" s="10"/>
    </row>
    <row r="31" spans="1:20">
      <c r="F31" s="4"/>
      <c r="G31" s="4"/>
      <c r="H31" s="4"/>
      <c r="I31" s="4"/>
      <c r="J31" s="4"/>
      <c r="K31" s="4"/>
      <c r="L31" s="4"/>
      <c r="M31" s="4"/>
      <c r="N31" s="4"/>
      <c r="O31" s="4"/>
      <c r="P31" s="4"/>
    </row>
    <row r="32" spans="1:20">
      <c r="C32" s="1"/>
      <c r="D32" s="1"/>
      <c r="E32" s="4"/>
      <c r="F32" s="4"/>
      <c r="G32" s="4"/>
      <c r="H32" s="4"/>
      <c r="I32" s="4"/>
      <c r="J32" s="4"/>
      <c r="K32" s="4"/>
      <c r="L32" s="4"/>
      <c r="M32" s="4"/>
      <c r="N32" s="4"/>
      <c r="O32" s="4"/>
      <c r="P32" s="4"/>
    </row>
    <row r="33" spans="6:16">
      <c r="F33" s="4"/>
      <c r="G33" s="4"/>
      <c r="H33" s="4"/>
      <c r="I33" s="4"/>
      <c r="J33" s="4"/>
      <c r="K33" s="4"/>
      <c r="L33" s="4"/>
      <c r="M33" s="4"/>
      <c r="N33" s="4"/>
      <c r="O33" s="4"/>
      <c r="P33" s="4"/>
    </row>
    <row r="34" spans="6:16">
      <c r="F34" s="4"/>
      <c r="G34" s="4"/>
      <c r="H34" s="4"/>
      <c r="I34" s="4"/>
      <c r="J34" s="4"/>
      <c r="K34" s="4"/>
      <c r="L34" s="4"/>
      <c r="M34" s="4"/>
      <c r="N34" s="4"/>
      <c r="O34" s="4"/>
      <c r="P34" s="4"/>
    </row>
    <row r="35" spans="6:16">
      <c r="P35" s="10"/>
    </row>
    <row r="36" spans="6:16">
      <c r="P36" s="10"/>
    </row>
    <row r="37" spans="6:16">
      <c r="P37" s="10"/>
    </row>
    <row r="38" spans="6:16">
      <c r="P38" s="10"/>
    </row>
    <row r="39" spans="6:16">
      <c r="P39" s="10"/>
    </row>
    <row r="40" spans="6:16">
      <c r="P40" s="10"/>
    </row>
  </sheetData>
  <mergeCells count="149">
    <mergeCell ref="K4:K6"/>
    <mergeCell ref="L4:L6"/>
    <mergeCell ref="B1:B3"/>
    <mergeCell ref="C1:C3"/>
    <mergeCell ref="D1:D3"/>
    <mergeCell ref="E1:E3"/>
    <mergeCell ref="F1:F3"/>
    <mergeCell ref="G1:G3"/>
    <mergeCell ref="B4:B6"/>
    <mergeCell ref="C4:C6"/>
    <mergeCell ref="L7:L9"/>
    <mergeCell ref="A10:A12"/>
    <mergeCell ref="K10:K12"/>
    <mergeCell ref="L10:L12"/>
    <mergeCell ref="H1:H3"/>
    <mergeCell ref="I1:I3"/>
    <mergeCell ref="J1:J3"/>
    <mergeCell ref="K1:K3"/>
    <mergeCell ref="L1:L3"/>
    <mergeCell ref="A4:A6"/>
    <mergeCell ref="D4:D6"/>
    <mergeCell ref="E4:E6"/>
    <mergeCell ref="F4:F6"/>
    <mergeCell ref="G4:G6"/>
    <mergeCell ref="H4:H6"/>
    <mergeCell ref="I4:I6"/>
    <mergeCell ref="J4:J6"/>
    <mergeCell ref="B10:B12"/>
    <mergeCell ref="C10:C12"/>
    <mergeCell ref="D10:D12"/>
    <mergeCell ref="E10:E12"/>
    <mergeCell ref="F10:F12"/>
    <mergeCell ref="G10:G12"/>
    <mergeCell ref="H10:H12"/>
    <mergeCell ref="L22:L24"/>
    <mergeCell ref="A25:A27"/>
    <mergeCell ref="A13:A15"/>
    <mergeCell ref="K13:K15"/>
    <mergeCell ref="L13:L15"/>
    <mergeCell ref="A7:A9"/>
    <mergeCell ref="K7:K9"/>
    <mergeCell ref="A16:A18"/>
    <mergeCell ref="K16:K18"/>
    <mergeCell ref="L16:L18"/>
    <mergeCell ref="K25:K27"/>
    <mergeCell ref="L25:L27"/>
    <mergeCell ref="A19:A21"/>
    <mergeCell ref="K19:K21"/>
    <mergeCell ref="L19:L21"/>
    <mergeCell ref="B7:B9"/>
    <mergeCell ref="C7:C9"/>
    <mergeCell ref="D7:D9"/>
    <mergeCell ref="E7:E9"/>
    <mergeCell ref="F7:F9"/>
    <mergeCell ref="G7:G9"/>
    <mergeCell ref="H7:H9"/>
    <mergeCell ref="I7:I9"/>
    <mergeCell ref="J7:J9"/>
    <mergeCell ref="A28:A30"/>
    <mergeCell ref="K28:K30"/>
    <mergeCell ref="L28:L30"/>
    <mergeCell ref="A22:A24"/>
    <mergeCell ref="K22:K24"/>
    <mergeCell ref="M1:M3"/>
    <mergeCell ref="N1:N3"/>
    <mergeCell ref="O1:O3"/>
    <mergeCell ref="M4:M6"/>
    <mergeCell ref="N4:N6"/>
    <mergeCell ref="O4:O6"/>
    <mergeCell ref="M7:M9"/>
    <mergeCell ref="N7:N9"/>
    <mergeCell ref="O7:O9"/>
    <mergeCell ref="M10:M12"/>
    <mergeCell ref="N10:N12"/>
    <mergeCell ref="O10:O12"/>
    <mergeCell ref="M13:M15"/>
    <mergeCell ref="N13:N15"/>
    <mergeCell ref="O13:O15"/>
    <mergeCell ref="M16:M18"/>
    <mergeCell ref="N16:N18"/>
    <mergeCell ref="O16:O18"/>
    <mergeCell ref="M19:M21"/>
    <mergeCell ref="N19:N21"/>
    <mergeCell ref="O19:O21"/>
    <mergeCell ref="M22:M24"/>
    <mergeCell ref="N22:N24"/>
    <mergeCell ref="O22:O24"/>
    <mergeCell ref="M25:M27"/>
    <mergeCell ref="N25:N27"/>
    <mergeCell ref="O25:O27"/>
    <mergeCell ref="M28:M30"/>
    <mergeCell ref="N28:N30"/>
    <mergeCell ref="O28:O30"/>
    <mergeCell ref="I10:I12"/>
    <mergeCell ref="J10:J12"/>
    <mergeCell ref="B13:B15"/>
    <mergeCell ref="C13:C15"/>
    <mergeCell ref="D13:D15"/>
    <mergeCell ref="E13:E15"/>
    <mergeCell ref="F13:F15"/>
    <mergeCell ref="G13:G15"/>
    <mergeCell ref="H13:H15"/>
    <mergeCell ref="I13:I15"/>
    <mergeCell ref="J13:J15"/>
    <mergeCell ref="J19:J21"/>
    <mergeCell ref="B16:B18"/>
    <mergeCell ref="C16:C18"/>
    <mergeCell ref="D16:D18"/>
    <mergeCell ref="E16:E18"/>
    <mergeCell ref="F16:F18"/>
    <mergeCell ref="G16:G18"/>
    <mergeCell ref="H16:H18"/>
    <mergeCell ref="I16:I18"/>
    <mergeCell ref="J16:J18"/>
    <mergeCell ref="I28:I30"/>
    <mergeCell ref="H22:H24"/>
    <mergeCell ref="I22:I24"/>
    <mergeCell ref="B19:B21"/>
    <mergeCell ref="C19:C21"/>
    <mergeCell ref="D19:D21"/>
    <mergeCell ref="E19:E21"/>
    <mergeCell ref="F19:F21"/>
    <mergeCell ref="G19:G21"/>
    <mergeCell ref="H19:H21"/>
    <mergeCell ref="I19:I21"/>
    <mergeCell ref="J22:J24"/>
    <mergeCell ref="B25:B27"/>
    <mergeCell ref="C25:C27"/>
    <mergeCell ref="D25:D27"/>
    <mergeCell ref="E25:E27"/>
    <mergeCell ref="F25:F27"/>
    <mergeCell ref="G25:G27"/>
    <mergeCell ref="J28:J30"/>
    <mergeCell ref="I25:I27"/>
    <mergeCell ref="J25:J27"/>
    <mergeCell ref="B28:B30"/>
    <mergeCell ref="C28:C30"/>
    <mergeCell ref="D28:D30"/>
    <mergeCell ref="E28:E30"/>
    <mergeCell ref="F28:F30"/>
    <mergeCell ref="G28:G30"/>
    <mergeCell ref="H28:H30"/>
    <mergeCell ref="H25:H27"/>
    <mergeCell ref="B22:B24"/>
    <mergeCell ref="C22:C24"/>
    <mergeCell ref="D22:D24"/>
    <mergeCell ref="E22:E24"/>
    <mergeCell ref="F22:F24"/>
    <mergeCell ref="G22:G24"/>
  </mergeCells>
  <conditionalFormatting sqref="A4:A30">
    <cfRule type="cellIs" dxfId="1" priority="3" stopIfTrue="1" operator="equal">
      <formula>0</formula>
    </cfRule>
  </conditionalFormatting>
  <conditionalFormatting sqref="B4:J30">
    <cfRule type="cellIs" priority="1" operator="equal">
      <formula>""</formula>
    </cfRule>
    <cfRule type="expression" dxfId="0" priority="2" stopIfTrue="1">
      <formula>OFFSET($A$2,(COLUMN()-1)*3-1,(ROW()+2)/3-1,1,1)&lt;&gt;CONCATENATE(RIGHT(B4,1),MID(B4,2,1),LEFT(B4,1))</formula>
    </cfRule>
  </conditionalFormatting>
  <conditionalFormatting sqref="O4:O33">
    <cfRule type="iconSet" priority="4">
      <iconSet iconSet="3Arrows" reverse="1">
        <cfvo type="percent" val="0"/>
        <cfvo type="num" val="2" gte="0"/>
        <cfvo type="num" val="MIN(($A$3-1),(MAX($O$4:$O$30)))"/>
      </iconSet>
    </cfRule>
  </conditionalFormatting>
  <dataValidations count="1">
    <dataValidation type="list" allowBlank="1" showInputMessage="1" showErrorMessage="1" sqref="B4:J30" xr:uid="{00000000-0002-0000-0D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orientation="landscape" r:id="rId1"/>
  <headerFooter>
    <oddHeader>&amp;C&amp;A</oddHeader>
    <oddFooter>&amp;LPrepared by City Squash Club&amp;C&amp;F&amp;R&amp;D</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Munkalapok</vt:lpstr>
      </vt:variant>
      <vt:variant>
        <vt:i4>19</vt:i4>
      </vt:variant>
      <vt:variant>
        <vt:lpstr>Névvel ellátott tartományok</vt:lpstr>
      </vt:variant>
      <vt:variant>
        <vt:i4>2</vt:i4>
      </vt:variant>
    </vt:vector>
  </HeadingPairs>
  <TitlesOfParts>
    <vt:vector size="21" baseType="lpstr">
      <vt:lpstr>A liga</vt:lpstr>
      <vt:lpstr>B liga</vt:lpstr>
      <vt:lpstr>C liga</vt:lpstr>
      <vt:lpstr>D liga</vt:lpstr>
      <vt:lpstr>E liga</vt:lpstr>
      <vt:lpstr>F liga</vt:lpstr>
      <vt:lpstr>G liga</vt:lpstr>
      <vt:lpstr>15. kör sorsolás</vt:lpstr>
      <vt:lpstr>Versenykiírás</vt:lpstr>
      <vt:lpstr>Ligabeosztas</vt:lpstr>
      <vt:lpstr>Elérhetőség</vt:lpstr>
      <vt:lpstr>Piramis Bajnokság</vt:lpstr>
      <vt:lpstr>Liga történelem</vt:lpstr>
      <vt:lpstr>Munka1</vt:lpstr>
      <vt:lpstr>Ranglista</vt:lpstr>
      <vt:lpstr>H liga</vt:lpstr>
      <vt:lpstr>9_fős_liga</vt:lpstr>
      <vt:lpstr>10_fős_liga</vt:lpstr>
      <vt:lpstr>Női liga</vt:lpstr>
      <vt:lpstr>eredmeny</vt:lpstr>
      <vt:lpstr>nevezettek</vt:lpstr>
    </vt:vector>
  </TitlesOfParts>
  <Company>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City Squash Club</dc:creator>
  <cp:lastModifiedBy>Martin SZEKERES</cp:lastModifiedBy>
  <cp:lastPrinted>2025-08-28T11:39:50Z</cp:lastPrinted>
  <dcterms:created xsi:type="dcterms:W3CDTF">2009-08-27T11:19:53Z</dcterms:created>
  <dcterms:modified xsi:type="dcterms:W3CDTF">2026-06-19T19:06:17Z</dcterms:modified>
</cp:coreProperties>
</file>